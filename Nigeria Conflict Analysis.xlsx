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166925"/>
  <mc:AlternateContent xmlns:mc="http://schemas.openxmlformats.org/markup-compatibility/2006">
    <mc:Choice Requires="x15">
      <x15ac:absPath xmlns:x15ac="http://schemas.microsoft.com/office/spreadsheetml/2010/11/ac" url="C:\Users\user\Desktop\Portfolio Projects\"/>
    </mc:Choice>
  </mc:AlternateContent>
  <xr:revisionPtr revIDLastSave="0" documentId="13_ncr:1_{1F40934A-D26A-45E8-A870-0BE0971879DE}" xr6:coauthVersionLast="47" xr6:coauthVersionMax="47" xr10:uidLastSave="{00000000-0000-0000-0000-000000000000}"/>
  <bookViews>
    <workbookView xWindow="-110" yWindow="-110" windowWidth="19420" windowHeight="10300" firstSheet="2" activeTab="4" xr2:uid="{0E7E2A1A-782D-45C4-A26B-F0E03B988B6B}"/>
  </bookViews>
  <sheets>
    <sheet name="Raw Datasets" sheetId="7" r:id="rId1"/>
    <sheet name="Cleaned Datasets" sheetId="1" r:id="rId2"/>
    <sheet name="Fatalities by States" sheetId="5" r:id="rId3"/>
    <sheet name="Fatalities by Type of Incidents" sheetId="6" r:id="rId4"/>
    <sheet name="Incident type v Ftlty v State" sheetId="8" r:id="rId5"/>
    <sheet name="Sheet2" sheetId="2" state="hidden" r:id="rId6"/>
  </sheets>
  <definedNames>
    <definedName name="_xlnm._FilterDatabase" localSheetId="1" hidden="1">'Cleaned Datasets'!$A$1:$A$18</definedName>
    <definedName name="Slicer_Incident_Type">#N/A</definedName>
    <definedName name="Slicer_State">#N/A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19" i="1" l="1"/>
</calcChain>
</file>

<file path=xl/sharedStrings.xml><?xml version="1.0" encoding="utf-8"?>
<sst xmlns="http://schemas.openxmlformats.org/spreadsheetml/2006/main" count="249" uniqueCount="115">
  <si>
    <t>Incident_ID</t>
  </si>
  <si>
    <t>Date</t>
  </si>
  <si>
    <t>Incident_Type</t>
  </si>
  <si>
    <t>Fatalities</t>
  </si>
  <si>
    <t>INC-1001</t>
  </si>
  <si>
    <t>14/05/2025</t>
  </si>
  <si>
    <t>INC-1002</t>
  </si>
  <si>
    <t>INC-1003</t>
  </si>
  <si>
    <t>20/06/2025</t>
  </si>
  <si>
    <t>INC-1004</t>
  </si>
  <si>
    <t>INC-1005</t>
  </si>
  <si>
    <t>INC-1006</t>
  </si>
  <si>
    <t>Armed Conflict</t>
  </si>
  <si>
    <t>INC-1007</t>
  </si>
  <si>
    <t>Theft</t>
  </si>
  <si>
    <t>INC-1008</t>
  </si>
  <si>
    <t>Kidnapping</t>
  </si>
  <si>
    <t>INC-1009</t>
  </si>
  <si>
    <t>13/05/2025</t>
  </si>
  <si>
    <t>INC-1010</t>
  </si>
  <si>
    <t>INC-1011</t>
  </si>
  <si>
    <t>15/08/2025</t>
  </si>
  <si>
    <t>INC-1012</t>
  </si>
  <si>
    <t>Civil Unrest</t>
  </si>
  <si>
    <t>INC-1013</t>
  </si>
  <si>
    <t>19/09/2025</t>
  </si>
  <si>
    <t>INC-1014</t>
  </si>
  <si>
    <t>INC-1015</t>
  </si>
  <si>
    <t>30/01/2025</t>
  </si>
  <si>
    <t>INC-1016</t>
  </si>
  <si>
    <t>INC-1017</t>
  </si>
  <si>
    <t>INC-1018</t>
  </si>
  <si>
    <t>18/04/2025</t>
  </si>
  <si>
    <t>22/07/2025</t>
  </si>
  <si>
    <t>15/02/2025</t>
  </si>
  <si>
    <t xml:space="preserve">Maiduguri </t>
  </si>
  <si>
    <t xml:space="preserve">Abuja </t>
  </si>
  <si>
    <t xml:space="preserve">Port Harcourt </t>
  </si>
  <si>
    <t xml:space="preserve">Ibadan </t>
  </si>
  <si>
    <t xml:space="preserve">Lagos </t>
  </si>
  <si>
    <t xml:space="preserve">Kano </t>
  </si>
  <si>
    <t xml:space="preserve">Enugu </t>
  </si>
  <si>
    <t xml:space="preserve">Kaduna </t>
  </si>
  <si>
    <t xml:space="preserve">Jos </t>
  </si>
  <si>
    <t xml:space="preserve">Sokoto </t>
  </si>
  <si>
    <t xml:space="preserve">Benin </t>
  </si>
  <si>
    <t xml:space="preserve">Asaba </t>
  </si>
  <si>
    <t xml:space="preserve">Bauchi </t>
  </si>
  <si>
    <t>City</t>
  </si>
  <si>
    <t>State</t>
  </si>
  <si>
    <t>Abuja</t>
  </si>
  <si>
    <t>FCT</t>
  </si>
  <si>
    <t>Lagos</t>
  </si>
  <si>
    <t>Port Harcourt</t>
  </si>
  <si>
    <t>Rivers</t>
  </si>
  <si>
    <t>Kano</t>
  </si>
  <si>
    <t>Ibadan</t>
  </si>
  <si>
    <t>Oyo</t>
  </si>
  <si>
    <t>INC-1019</t>
  </si>
  <si>
    <t>INC-1020</t>
  </si>
  <si>
    <t>City (Col A)</t>
  </si>
  <si>
    <t>Correct State (Col B)</t>
  </si>
  <si>
    <t>Maiduguri</t>
  </si>
  <si>
    <t>Borno</t>
  </si>
  <si>
    <t>Bauchi</t>
  </si>
  <si>
    <t>Delta</t>
  </si>
  <si>
    <t>Asaba</t>
  </si>
  <si>
    <t>Benin</t>
  </si>
  <si>
    <t>Edo</t>
  </si>
  <si>
    <t>Sokoto</t>
  </si>
  <si>
    <t>Jos</t>
  </si>
  <si>
    <t>Plateau</t>
  </si>
  <si>
    <t>Kaduna</t>
  </si>
  <si>
    <t>Enugu</t>
  </si>
  <si>
    <t>Row Labels</t>
  </si>
  <si>
    <t>Grand Total</t>
  </si>
  <si>
    <t>Sum of Fatalities</t>
  </si>
  <si>
    <t>Ikeja</t>
  </si>
  <si>
    <t>KIDNAPPING</t>
  </si>
  <si>
    <t>kidnap</t>
  </si>
  <si>
    <t>2 confirmed</t>
  </si>
  <si>
    <t>Armed Robbery</t>
  </si>
  <si>
    <t>None</t>
  </si>
  <si>
    <t>22-07-2025</t>
  </si>
  <si>
    <t>ROBBERY</t>
  </si>
  <si>
    <t>civil unrest</t>
  </si>
  <si>
    <t>approx 10</t>
  </si>
  <si>
    <t>15 dead</t>
  </si>
  <si>
    <t>four</t>
  </si>
  <si>
    <t>ARMED ROBBERY</t>
  </si>
  <si>
    <t>conflict</t>
  </si>
  <si>
    <t>20+</t>
  </si>
  <si>
    <t>theft</t>
  </si>
  <si>
    <t>KIDNAP</t>
  </si>
  <si>
    <t>unknown</t>
  </si>
  <si>
    <t>15-02-2025</t>
  </si>
  <si>
    <t>CIVIL UNREST</t>
  </si>
  <si>
    <t>Conflict</t>
  </si>
  <si>
    <t>Robbery</t>
  </si>
  <si>
    <t xml:space="preserve"> Lagos</t>
  </si>
  <si>
    <t xml:space="preserve"> Rivers</t>
  </si>
  <si>
    <t xml:space="preserve"> Kano</t>
  </si>
  <si>
    <t xml:space="preserve"> Enugu</t>
  </si>
  <si>
    <t xml:space="preserve"> Kaduna</t>
  </si>
  <si>
    <t xml:space="preserve"> Plateau</t>
  </si>
  <si>
    <t xml:space="preserve"> Sokoto</t>
  </si>
  <si>
    <t xml:space="preserve"> Edo</t>
  </si>
  <si>
    <t xml:space="preserve"> Delta</t>
  </si>
  <si>
    <t xml:space="preserve"> Bauchi</t>
  </si>
  <si>
    <t xml:space="preserve"> FCT</t>
  </si>
  <si>
    <t xml:space="preserve"> Oyo</t>
  </si>
  <si>
    <t xml:space="preserve"> Borno</t>
  </si>
  <si>
    <t>Location</t>
  </si>
  <si>
    <t>Incident type</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</si>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</sst>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m/d/yy;@"/>
    <numFmt numFmtId="165" formatCode="dd/mm/yyyy"/>
  </numFmts>
  <fonts count="4" x14ac:knownFonts="1">
    <font>
      <sz val="11"/>
      <color theme="1"/>
      <name val="Calibri"/>
      <family val="2"/>
      <scheme val="minor"/>
    </font>
    <font>
      <sz val="8"/>
      <name val="Calibri"/>
      <family val="2"/>
      <scheme val="minor"/>
    </font>
    <font>
      <sz val="14"/>
      <color theme="1"/>
      <name val="Calibri"/>
      <family val="2"/>
      <scheme val="minor"/>
    </font>
    <font>
      <sz val="11"/>
      <color theme="0"/>
      <name val="Calibri"/>
      <family val="2"/>
      <scheme val="minor"/>
    </font>
  </fonts>
  <fills count="5">
    <fill>
      <patternFill patternType="none"/>
    </fill>
    <fill>
      <patternFill patternType="gray125"/>
    </fill>
    <fill>
      <patternFill patternType="solid">
        <fgColor theme="1"/>
        <bgColor indexed="64"/>
      </patternFill>
    </fill>
    <fill>
      <patternFill patternType="solid">
        <fgColor theme="2" tint="-0.89999084444715716"/>
        <bgColor indexed="64"/>
      </patternFill>
    </fill>
    <fill>
      <patternFill patternType="solid">
        <fgColor theme="2" tint="-0.749992370372631"/>
        <bgColor indexed="64"/>
      </patternFill>
    </fill>
  </fills>
  <borders count="1">
    <border>
      <left/>
      <right/>
      <top/>
      <bottom/>
      <diagonal/>
    </border>
  </borders>
  <cellStyleXfs count="1">
    <xf numFmtId="0" fontId="0" fillId="0" borderId="0"/>
  </cellStyleXfs>
  <cellXfs count="15">
    <xf numFmtId="0" fontId="0" fillId="0" borderId="0" xfId="0"/>
    <xf numFmtId="164" fontId="0" fillId="0" borderId="0" xfId="0" applyNumberFormat="1"/>
    <xf numFmtId="1" fontId="0" fillId="0" borderId="0" xfId="0" applyNumberFormat="1"/>
    <xf numFmtId="0" fontId="2" fillId="0" borderId="0" xfId="0" applyFont="1"/>
    <xf numFmtId="164" fontId="2" fillId="0" borderId="0" xfId="0" applyNumberFormat="1" applyFont="1"/>
    <xf numFmtId="1" fontId="2" fillId="0" borderId="0" xfId="0" applyNumberFormat="1" applyFont="1"/>
    <xf numFmtId="14" fontId="0" fillId="0" borderId="0" xfId="0" applyNumberFormat="1"/>
    <xf numFmtId="165" fontId="0" fillId="0" borderId="0" xfId="0" applyNumberFormat="1" applyAlignment="1">
      <alignment horizontal="right"/>
    </xf>
    <xf numFmtId="0" fontId="3" fillId="2" borderId="0" xfId="0" applyFont="1" applyFill="1"/>
    <xf numFmtId="0" fontId="3" fillId="3" borderId="0" xfId="0" applyFont="1" applyFill="1"/>
    <xf numFmtId="0" fontId="3" fillId="3" borderId="0" xfId="0" applyFont="1" applyFill="1" applyAlignment="1">
      <alignment horizontal="left"/>
    </xf>
    <xf numFmtId="1" fontId="3" fillId="3" borderId="0" xfId="0" applyNumberFormat="1" applyFont="1" applyFill="1"/>
    <xf numFmtId="0" fontId="0" fillId="0" borderId="0" xfId="0" pivotButton="1"/>
    <xf numFmtId="0" fontId="0" fillId="0" borderId="0" xfId="0" applyAlignment="1">
      <alignment horizontal="left"/>
    </xf>
    <xf numFmtId="0" fontId="0" fillId="4" borderId="0" xfId="0" applyFill="1"/>
  </cellXfs>
  <cellStyles count="1">
    <cellStyle name="Normal" xfId="0" builtinId="0"/>
  </cellStyles>
  <dxfs count="55">
    <dxf>
      <fill>
        <patternFill patternType="solid">
          <bgColor theme="2" tint="-0.89999084444715716"/>
        </patternFill>
      </fill>
    </dxf>
    <dxf>
      <fill>
        <patternFill patternType="solid">
          <bgColor theme="2" tint="-0.89999084444715716"/>
        </patternFill>
      </fill>
    </dxf>
    <dxf>
      <fill>
        <patternFill patternType="solid">
          <bgColor theme="2" tint="-0.89999084444715716"/>
        </patternFill>
      </fill>
    </dxf>
    <dxf>
      <fill>
        <patternFill patternType="solid">
          <bgColor theme="2" tint="-0.89999084444715716"/>
        </patternFill>
      </fill>
    </dxf>
    <dxf>
      <fill>
        <patternFill patternType="solid">
          <bgColor theme="2" tint="-0.89999084444715716"/>
        </patternFill>
      </fill>
    </dxf>
    <dxf>
      <fill>
        <patternFill patternType="solid">
          <bgColor theme="2" tint="-0.89999084444715716"/>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patternType="solid">
          <bgColor theme="2" tint="-0.89999084444715716"/>
        </patternFill>
      </fill>
    </dxf>
    <dxf>
      <fill>
        <patternFill patternType="solid">
          <bgColor theme="2" tint="-0.89999084444715716"/>
        </patternFill>
      </fill>
    </dxf>
    <dxf>
      <fill>
        <patternFill patternType="solid">
          <bgColor theme="2" tint="-0.89999084444715716"/>
        </patternFill>
      </fill>
    </dxf>
    <dxf>
      <fill>
        <patternFill patternType="solid">
          <bgColor theme="2" tint="-0.89999084444715716"/>
        </patternFill>
      </fill>
    </dxf>
    <dxf>
      <fill>
        <patternFill patternType="solid">
          <bgColor theme="2" tint="-0.89999084444715716"/>
        </patternFill>
      </fill>
    </dxf>
    <dxf>
      <fill>
        <patternFill patternType="solid">
          <bgColor theme="2" tint="-0.89999084444715716"/>
        </patternFill>
      </fill>
    </dxf>
    <dxf>
      <fill>
        <patternFill>
          <bgColor theme="2" tint="-0.89999084444715716"/>
        </patternFill>
      </fill>
    </dxf>
    <dxf>
      <fill>
        <patternFill>
          <bgColor theme="2" tint="-0.89999084444715716"/>
        </patternFill>
      </fill>
    </dxf>
    <dxf>
      <fill>
        <patternFill>
          <bgColor theme="2" tint="-0.89999084444715716"/>
        </patternFill>
      </fill>
    </dxf>
    <dxf>
      <fill>
        <patternFill>
          <bgColor theme="2" tint="-0.89999084444715716"/>
        </patternFill>
      </fill>
    </dxf>
    <dxf>
      <fill>
        <patternFill>
          <bgColor theme="2" tint="-0.89999084444715716"/>
        </patternFill>
      </fill>
    </dxf>
    <dxf>
      <fill>
        <patternFill>
          <bgColor theme="2" tint="-0.89999084444715716"/>
        </patternFill>
      </fill>
    </dxf>
    <dxf>
      <font>
        <color theme="0"/>
      </font>
    </dxf>
    <dxf>
      <font>
        <color theme="0"/>
      </font>
    </dxf>
    <dxf>
      <font>
        <color theme="0"/>
      </font>
    </dxf>
    <dxf>
      <font>
        <color theme="0"/>
      </font>
    </dxf>
    <dxf>
      <font>
        <color theme="0"/>
      </font>
    </dxf>
    <dxf>
      <font>
        <color theme="0"/>
      </font>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numFmt numFmtId="1" formatCode="0"/>
    </dxf>
    <dxf>
      <numFmt numFmtId="1" formatCode="0"/>
    </dxf>
    <dxf>
      <numFmt numFmtId="164" formatCode="m/d/yy;@"/>
    </dxf>
    <dxf>
      <numFmt numFmtId="165" formatCode="dd/mm/yyyy"/>
      <alignment horizontal="right" vertical="bottom" textRotation="0" wrapText="0" indent="0" justifyLastLine="0" shrinkToFit="0" readingOrder="0"/>
    </dxf>
    <dxf>
      <font>
        <b val="0"/>
        <i val="0"/>
        <strike val="0"/>
        <condense val="0"/>
        <extend val="0"/>
        <outline val="0"/>
        <shadow val="0"/>
        <u val="none"/>
        <vertAlign val="baseline"/>
        <sz val="14"/>
        <color theme="1"/>
        <name val="Calibri"/>
        <family val="2"/>
        <scheme val="minor"/>
      </font>
    </dxf>
    <dxf>
      <font>
        <b/>
        <i/>
        <strike val="0"/>
        <u val="none"/>
        <sz val="14"/>
        <color theme="1" tint="4.9989318521683403E-2"/>
        <name val="Calibri"/>
        <family val="2"/>
        <scheme val="minor"/>
      </font>
      <fill>
        <patternFill>
          <bgColor theme="0" tint="-0.24994659260841701"/>
        </patternFill>
      </fill>
      <border>
        <left style="thin">
          <color theme="1"/>
        </left>
        <right style="thin">
          <color theme="1"/>
        </right>
        <top style="thin">
          <color theme="1"/>
        </top>
        <bottom style="thin">
          <color theme="1"/>
        </bottom>
      </border>
    </dxf>
    <dxf>
      <fill>
        <patternFill>
          <bgColor theme="1" tint="4.9989318521683403E-2"/>
        </patternFill>
      </fill>
    </dxf>
  </dxfs>
  <tableStyles count="2" defaultTableStyle="TableStyleMedium2" defaultPivotStyle="PivotStyleLight16">
    <tableStyle name="Slicer Style 1" pivot="0" table="0" count="1" xr9:uid="{2416D42C-8133-4495-9D9F-6F9620D37E19}">
      <tableStyleElement type="wholeTable" dxfId="54"/>
    </tableStyle>
    <tableStyle name="Slicer Style 2" pivot="0" table="0" count="2" xr9:uid="{31938363-5C97-468A-8D04-41F641884BB3}">
      <tableStyleElement type="wholeTable" dxfId="53"/>
    </tableStyle>
  </tableStyles>
  <extLst>
    <ext xmlns:x14="http://schemas.microsoft.com/office/spreadsheetml/2009/9/main" uri="{46F421CA-312F-682f-3DD2-61675219B42D}">
      <x14:dxfs count="1">
        <dxf>
          <font>
            <b/>
            <i/>
            <strike/>
          </font>
          <border diagonalUp="0" diagonalDown="0">
            <left style="thin">
              <color auto="1"/>
            </left>
            <right style="thin">
              <color auto="1"/>
            </right>
            <top style="thin">
              <color auto="1"/>
            </top>
            <bottom style="thin">
              <color auto="1"/>
            </bottom>
            <vertical/>
            <horizontal/>
          </border>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[Nigeria Conflict Analysis.xlsx]Fatalities by States!PivotTable3</c:name>
    <c:fmtId val="0"/>
  </c:pivotSource>
  <c:chart>
    <c:title>
      <c:tx>
        <c:rich>
          <a:bodyPr rot="0" spcFirstLastPara="1" vertOverflow="ellipsis" vert="horz" wrap="square" anchor="ctr" anchorCtr="1"/>
          <a:lstStyle/>
          <a:p>
            <a:pPr>
              <a:defRPr sz="1600" b="1" i="1" u="sng"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i="1" u="sng"/>
              <a:t>Total</a:t>
            </a:r>
            <a:r>
              <a:rPr lang="en-US" i="1" u="sng" baseline="0"/>
              <a:t> Fatalities by State</a:t>
            </a:r>
            <a:endParaRPr lang="en-US" i="1" u="sng"/>
          </a:p>
        </c:rich>
      </c:tx>
      <c:layout>
        <c:manualLayout>
          <c:xMode val="edge"/>
          <c:yMode val="edge"/>
          <c:x val="0.29297255797840965"/>
          <c:y val="5.2256532066508314E-2"/>
        </c:manualLayout>
      </c:layout>
      <c:overlay val="0"/>
      <c:spPr>
        <a:noFill/>
        <a:ln>
          <a:noFill/>
        </a:ln>
        <a:effectLst/>
      </c:spPr>
      <c:txPr>
        <a:bodyPr rot="0" spcFirstLastPara="1" vertOverflow="ellipsis" vert="horz" wrap="square" anchor="ctr" anchorCtr="1"/>
        <a:lstStyle/>
        <a:p>
          <a:pPr>
            <a:defRPr sz="1600" b="1" i="1" u="sng"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prst="angle"/>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prst="angle"/>
          </a:sp3d>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prst="angle"/>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prst="angle"/>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prst="angle"/>
          </a:sp3d>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prst="angle"/>
          </a:sp3d>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prst="angle"/>
          </a:sp3d>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prst="angle"/>
          </a:sp3d>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prst="angle"/>
          </a:sp3d>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prst="angle"/>
          </a:sp3d>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prst="angle"/>
          </a:sp3d>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prst="angle"/>
          </a:sp3d>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prst="angle"/>
          </a:sp3d>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prst="angle"/>
          </a:sp3d>
        </c:spPr>
      </c:pivotFmt>
    </c:pivotFmts>
    <c:plotArea>
      <c:layout/>
      <c:barChart>
        <c:barDir val="col"/>
        <c:grouping val="clustered"/>
        <c:varyColors val="1"/>
        <c:ser>
          <c:idx val="0"/>
          <c:order val="0"/>
          <c:tx>
            <c:strRef>
              <c:f>'Fatalities by States'!$B$3</c:f>
              <c:strCache>
                <c:ptCount val="1"/>
                <c:pt idx="0">
                  <c:v>Total</c:v>
                </c:pt>
              </c:strCache>
            </c:strRef>
          </c:tx>
          <c:spPr>
            <a:scene3d>
              <a:camera prst="orthographicFront"/>
              <a:lightRig rig="threePt" dir="t"/>
            </a:scene3d>
            <a:sp3d>
              <a:bevelT prst="angle"/>
            </a:sp3d>
          </c:spPr>
          <c:invertIfNegative val="0"/>
          <c:dPt>
            <c:idx val="0"/>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prst="angle"/>
              </a:sp3d>
            </c:spPr>
            <c:extLst>
              <c:ext xmlns:c16="http://schemas.microsoft.com/office/drawing/2014/chart" uri="{C3380CC4-5D6E-409C-BE32-E72D297353CC}">
                <c16:uniqueId val="{00000001-E20C-402C-ADE6-1C4064B48FD6}"/>
              </c:ext>
            </c:extLst>
          </c:dPt>
          <c:dPt>
            <c:idx val="1"/>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prst="angle"/>
              </a:sp3d>
            </c:spPr>
            <c:extLst>
              <c:ext xmlns:c16="http://schemas.microsoft.com/office/drawing/2014/chart" uri="{C3380CC4-5D6E-409C-BE32-E72D297353CC}">
                <c16:uniqueId val="{00000003-E20C-402C-ADE6-1C4064B48FD6}"/>
              </c:ext>
            </c:extLst>
          </c:dPt>
          <c:dPt>
            <c:idx val="2"/>
            <c:invertIfNegative val="0"/>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prst="angle"/>
              </a:sp3d>
            </c:spPr>
            <c:extLst>
              <c:ext xmlns:c16="http://schemas.microsoft.com/office/drawing/2014/chart" uri="{C3380CC4-5D6E-409C-BE32-E72D297353CC}">
                <c16:uniqueId val="{00000005-E20C-402C-ADE6-1C4064B48FD6}"/>
              </c:ext>
            </c:extLst>
          </c:dPt>
          <c:dPt>
            <c:idx val="3"/>
            <c:invertIfNegative val="0"/>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prst="angle"/>
              </a:sp3d>
            </c:spPr>
            <c:extLst>
              <c:ext xmlns:c16="http://schemas.microsoft.com/office/drawing/2014/chart" uri="{C3380CC4-5D6E-409C-BE32-E72D297353CC}">
                <c16:uniqueId val="{00000007-E20C-402C-ADE6-1C4064B48FD6}"/>
              </c:ext>
            </c:extLst>
          </c:dPt>
          <c:dPt>
            <c:idx val="4"/>
            <c:invertIfNegative val="0"/>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prst="angle"/>
              </a:sp3d>
            </c:spPr>
            <c:extLst>
              <c:ext xmlns:c16="http://schemas.microsoft.com/office/drawing/2014/chart" uri="{C3380CC4-5D6E-409C-BE32-E72D297353CC}">
                <c16:uniqueId val="{00000009-E20C-402C-ADE6-1C4064B48FD6}"/>
              </c:ext>
            </c:extLst>
          </c:dPt>
          <c:dPt>
            <c:idx val="5"/>
            <c:invertIfNegative val="0"/>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prst="angle"/>
              </a:sp3d>
            </c:spPr>
            <c:extLst>
              <c:ext xmlns:c16="http://schemas.microsoft.com/office/drawing/2014/chart" uri="{C3380CC4-5D6E-409C-BE32-E72D297353CC}">
                <c16:uniqueId val="{0000000B-E20C-402C-ADE6-1C4064B48FD6}"/>
              </c:ext>
            </c:extLst>
          </c:dPt>
          <c:dPt>
            <c:idx val="6"/>
            <c:invertIfNegative val="0"/>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prst="angle"/>
              </a:sp3d>
            </c:spPr>
            <c:extLst>
              <c:ext xmlns:c16="http://schemas.microsoft.com/office/drawing/2014/chart" uri="{C3380CC4-5D6E-409C-BE32-E72D297353CC}">
                <c16:uniqueId val="{0000000D-E20C-402C-ADE6-1C4064B48FD6}"/>
              </c:ext>
            </c:extLst>
          </c:dPt>
          <c:dPt>
            <c:idx val="7"/>
            <c:invertIfNegative val="0"/>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prst="angle"/>
              </a:sp3d>
            </c:spPr>
            <c:extLst>
              <c:ext xmlns:c16="http://schemas.microsoft.com/office/drawing/2014/chart" uri="{C3380CC4-5D6E-409C-BE32-E72D297353CC}">
                <c16:uniqueId val="{0000000F-E20C-402C-ADE6-1C4064B48FD6}"/>
              </c:ext>
            </c:extLst>
          </c:dPt>
          <c:dPt>
            <c:idx val="8"/>
            <c:invertIfNegative val="0"/>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prst="angle"/>
              </a:sp3d>
            </c:spPr>
            <c:extLst>
              <c:ext xmlns:c16="http://schemas.microsoft.com/office/drawing/2014/chart" uri="{C3380CC4-5D6E-409C-BE32-E72D297353CC}">
                <c16:uniqueId val="{00000011-E20C-402C-ADE6-1C4064B48FD6}"/>
              </c:ext>
            </c:extLst>
          </c:dPt>
          <c:dPt>
            <c:idx val="9"/>
            <c:invertIfNegative val="0"/>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prst="angle"/>
              </a:sp3d>
            </c:spPr>
            <c:extLst>
              <c:ext xmlns:c16="http://schemas.microsoft.com/office/drawing/2014/chart" uri="{C3380CC4-5D6E-409C-BE32-E72D297353CC}">
                <c16:uniqueId val="{00000013-E20C-402C-ADE6-1C4064B48FD6}"/>
              </c:ext>
            </c:extLst>
          </c:dPt>
          <c:dPt>
            <c:idx val="10"/>
            <c:invertIfNegative val="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prst="angle"/>
              </a:sp3d>
            </c:spPr>
            <c:extLst>
              <c:ext xmlns:c16="http://schemas.microsoft.com/office/drawing/2014/chart" uri="{C3380CC4-5D6E-409C-BE32-E72D297353CC}">
                <c16:uniqueId val="{00000015-E20C-402C-ADE6-1C4064B48FD6}"/>
              </c:ext>
            </c:extLst>
          </c:dPt>
          <c:dPt>
            <c:idx val="11"/>
            <c:invertIfNegative val="0"/>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prst="angle"/>
              </a:sp3d>
            </c:spPr>
            <c:extLst>
              <c:ext xmlns:c16="http://schemas.microsoft.com/office/drawing/2014/chart" uri="{C3380CC4-5D6E-409C-BE32-E72D297353CC}">
                <c16:uniqueId val="{00000017-E20C-402C-ADE6-1C4064B48FD6}"/>
              </c:ext>
            </c:extLst>
          </c:dPt>
          <c:dPt>
            <c:idx val="12"/>
            <c:invertIfNegative val="0"/>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prst="angle"/>
              </a:sp3d>
            </c:spPr>
            <c:extLst>
              <c:ext xmlns:c16="http://schemas.microsoft.com/office/drawing/2014/chart" uri="{C3380CC4-5D6E-409C-BE32-E72D297353CC}">
                <c16:uniqueId val="{00000019-E20C-402C-ADE6-1C4064B48FD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'Fatalities by States'!$A$4:$A$17</c:f>
              <c:strCache>
                <c:ptCount val="13"/>
                <c:pt idx="0">
                  <c:v>Bauchi</c:v>
                </c:pt>
                <c:pt idx="1">
                  <c:v>Borno</c:v>
                </c:pt>
                <c:pt idx="2">
                  <c:v>Delta</c:v>
                </c:pt>
                <c:pt idx="3">
                  <c:v>Edo</c:v>
                </c:pt>
                <c:pt idx="4">
                  <c:v>Enugu</c:v>
                </c:pt>
                <c:pt idx="5">
                  <c:v>FCT</c:v>
                </c:pt>
                <c:pt idx="6">
                  <c:v>Kaduna</c:v>
                </c:pt>
                <c:pt idx="7">
                  <c:v>Kano</c:v>
                </c:pt>
                <c:pt idx="8">
                  <c:v>Lagos</c:v>
                </c:pt>
                <c:pt idx="9">
                  <c:v>Oyo</c:v>
                </c:pt>
                <c:pt idx="10">
                  <c:v>Plateau</c:v>
                </c:pt>
                <c:pt idx="11">
                  <c:v>Rivers</c:v>
                </c:pt>
                <c:pt idx="12">
                  <c:v>Sokoto</c:v>
                </c:pt>
              </c:strCache>
            </c:strRef>
          </c:cat>
          <c:val>
            <c:numRef>
              <c:f>'Fatalities by States'!$B$4:$B$17</c:f>
              <c:numCache>
                <c:formatCode>0</c:formatCode>
                <c:ptCount val="13"/>
                <c:pt idx="0">
                  <c:v>0</c:v>
                </c:pt>
                <c:pt idx="1">
                  <c:v>17</c:v>
                </c:pt>
                <c:pt idx="2">
                  <c:v>1</c:v>
                </c:pt>
                <c:pt idx="3">
                  <c:v>0</c:v>
                </c:pt>
                <c:pt idx="4">
                  <c:v>0</c:v>
                </c:pt>
                <c:pt idx="5">
                  <c:v>4</c:v>
                </c:pt>
                <c:pt idx="6">
                  <c:v>0</c:v>
                </c:pt>
                <c:pt idx="7">
                  <c:v>16</c:v>
                </c:pt>
                <c:pt idx="8">
                  <c:v>5</c:v>
                </c:pt>
                <c:pt idx="9">
                  <c:v>1</c:v>
                </c:pt>
                <c:pt idx="10">
                  <c:v>3</c:v>
                </c:pt>
                <c:pt idx="11">
                  <c:v>0</c:v>
                </c:pt>
                <c:pt idx="12">
                  <c:v>0</c:v>
                </c:pt>
              </c:numCache>
            </c:numRef>
          </c:val>
          <c:extLst>
            <c:ext xmlns:c16="http://schemas.microsoft.com/office/drawing/2014/chart" uri="{C3380CC4-5D6E-409C-BE32-E72D297353CC}">
              <c16:uniqueId val="{00000000-E229-4C91-ADFF-93DDCB15429F}"/>
            </c:ext>
          </c:extLst>
        </c:ser>
        <c:dLbls>
          <c:showLegendKey val="0"/>
          <c:showVal val="0"/>
          <c:showCatName val="0"/>
          <c:showSerName val="0"/>
          <c:showPercent val="0"/>
          <c:showBubbleSize val="0"/>
        </c:dLbls>
        <c:gapWidth val="100"/>
        <c:overlap val="-24"/>
        <c:axId val="1850034831"/>
        <c:axId val="1850029071"/>
      </c:barChart>
      <c:catAx>
        <c:axId val="185003483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50029071"/>
        <c:crosses val="autoZero"/>
        <c:auto val="1"/>
        <c:lblAlgn val="ctr"/>
        <c:lblOffset val="100"/>
        <c:noMultiLvlLbl val="0"/>
      </c:catAx>
      <c:valAx>
        <c:axId val="1850029071"/>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500348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scene3d>
      <a:camera prst="orthographicFront"/>
      <a:lightRig rig="threePt" dir="t"/>
    </a:scene3d>
    <a:sp3d>
      <a:bevelT w="165100" h="31750" prst="angle"/>
      <a:bevelB w="95250" h="635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[Nigeria Conflict Analysis.xlsx]Fatalities by Type of Incidents!PivotTable1</c:name>
    <c:fmtId val="0"/>
  </c:pivotSource>
  <c:chart>
    <c:title>
      <c:tx>
        <c:rich>
          <a:bodyPr rot="0" spcFirstLastPara="1" vertOverflow="ellipsis" vert="horz" wrap="square" anchor="ctr" anchorCtr="1"/>
          <a:lstStyle/>
          <a:p>
            <a:pPr>
              <a:defRPr sz="1600" b="1" i="1" u="sng"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i="1" u="sng"/>
              <a:t>Total Fatalities</a:t>
            </a:r>
            <a:r>
              <a:rPr lang="en-US" i="1" u="sng" baseline="0"/>
              <a:t> by Type of Incidents</a:t>
            </a:r>
            <a:endParaRPr lang="en-US" i="1" u="sng"/>
          </a:p>
        </c:rich>
      </c:tx>
      <c:layout>
        <c:manualLayout>
          <c:xMode val="edge"/>
          <c:yMode val="edge"/>
          <c:x val="0.19040783363618008"/>
          <c:y val="8.3333333333333329E-2"/>
        </c:manualLayout>
      </c:layout>
      <c:overlay val="0"/>
      <c:spPr>
        <a:noFill/>
        <a:ln>
          <a:noFill/>
        </a:ln>
        <a:effectLst/>
      </c:spPr>
      <c:txPr>
        <a:bodyPr rot="0" spcFirstLastPara="1" vertOverflow="ellipsis" vert="horz" wrap="square" anchor="ctr" anchorCtr="1"/>
        <a:lstStyle/>
        <a:p>
          <a:pPr>
            <a:defRPr sz="1600" b="1" i="1" u="sng"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dLbl>
          <c:idx val="0"/>
          <c:showLegendKey val="0"/>
          <c:showVal val="0"/>
          <c:showCatName val="0"/>
          <c:showSerName val="0"/>
          <c:showPercent val="0"/>
          <c:showBubbleSize val="0"/>
          <c:extLst>
            <c:ext xmlns:c15="http://schemas.microsoft.com/office/drawing/2012/chart" uri="{CE6537A1-D6FC-4f65-9D91-7224C49458BB}"/>
          </c:extLst>
        </c:dLbl>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dLbl>
          <c:idx val="0"/>
          <c:showLegendKey val="0"/>
          <c:showVal val="0"/>
          <c:showCatName val="0"/>
          <c:showSerName val="0"/>
          <c:showPercent val="0"/>
          <c:showBubbleSize val="0"/>
          <c:extLst>
            <c:ext xmlns:c15="http://schemas.microsoft.com/office/drawing/2012/chart" uri="{CE6537A1-D6FC-4f65-9D91-7224C49458BB}"/>
          </c:extLst>
        </c:dLbl>
      </c:pivotFmt>
      <c:pivotFmt>
        <c:idx val="33"/>
        <c:dLbl>
          <c:idx val="0"/>
          <c:showLegendKey val="0"/>
          <c:showVal val="0"/>
          <c:showCatName val="0"/>
          <c:showSerName val="0"/>
          <c:showPercent val="0"/>
          <c:showBubbleSize val="0"/>
          <c:extLst>
            <c:ext xmlns:c15="http://schemas.microsoft.com/office/drawing/2012/chart" uri="{CE6537A1-D6FC-4f65-9D91-7224C49458BB}"/>
          </c:extLst>
        </c:dLbl>
      </c:pivotFmt>
      <c:pivotFmt>
        <c:idx val="34"/>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w="12700000" h="63500" prst="angle"/>
            <a:bevelB w="0"/>
          </a:sp3d>
        </c:spPr>
        <c:marker>
          <c:symbol val="none"/>
        </c:marker>
        <c:dLbl>
          <c:idx val="0"/>
          <c:spPr>
            <a:solidFill>
              <a:sysClr val="window" lastClr="FFFFFF">
                <a:lumMod val="65000"/>
              </a:sys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ln>
                    <a:noFill/>
                  </a:ln>
                  <a:solidFill>
                    <a:schemeClr val="tx1">
                      <a:lumMod val="95000"/>
                      <a:lumOff val="5000"/>
                    </a:schemeClr>
                  </a:solidFill>
                  <a:effectLst>
                    <a:outerShdw blurRad="38100" dist="12700" dir="2700000" algn="tl" rotWithShape="0">
                      <a:prstClr val="black">
                        <a:alpha val="40000"/>
                      </a:prstClr>
                    </a:outerShdw>
                  </a:effectLst>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w="12700000" h="63500" prst="angle"/>
            <a:bevelB w="0"/>
          </a:sp3d>
        </c:spPr>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w="12700000" h="63500" prst="angle"/>
            <a:bevelB w="0"/>
          </a:sp3d>
        </c:spPr>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w="12700000" h="63500" prst="angle"/>
            <a:bevelB w="0"/>
          </a:sp3d>
        </c:spPr>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w="12700000" h="63500" prst="angle"/>
            <a:bevelB w="0"/>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1.6317016317016316E-2"/>
          <c:y val="0.21078703703703705"/>
          <c:w val="0.94871794871794868"/>
          <c:h val="0.76606481481481481"/>
        </c:manualLayout>
      </c:layout>
      <c:pie3DChart>
        <c:varyColors val="1"/>
        <c:ser>
          <c:idx val="0"/>
          <c:order val="0"/>
          <c:tx>
            <c:strRef>
              <c:f>'Fatalities by Type of Incidents'!$B$3</c:f>
              <c:strCache>
                <c:ptCount val="1"/>
                <c:pt idx="0">
                  <c:v>Total</c:v>
                </c:pt>
              </c:strCache>
            </c:strRef>
          </c:tx>
          <c:spPr>
            <a:scene3d>
              <a:camera prst="orthographicFront"/>
              <a:lightRig rig="threePt" dir="t"/>
            </a:scene3d>
            <a:sp3d>
              <a:bevelT w="12700000" h="63500" prst="angle"/>
              <a:bevelB w="0"/>
            </a:sp3d>
          </c:spPr>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w="12700000" h="63500" prst="angle"/>
                <a:bevelB w="0"/>
              </a:sp3d>
            </c:spPr>
            <c:extLst>
              <c:ext xmlns:c16="http://schemas.microsoft.com/office/drawing/2014/chart" uri="{C3380CC4-5D6E-409C-BE32-E72D297353CC}">
                <c16:uniqueId val="{00000024-A6E9-4064-9521-C3F63FD9A098}"/>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w="12700000" h="63500" prst="angle"/>
                <a:bevelB w="0"/>
              </a:sp3d>
            </c:spPr>
            <c:extLst>
              <c:ext xmlns:c16="http://schemas.microsoft.com/office/drawing/2014/chart" uri="{C3380CC4-5D6E-409C-BE32-E72D297353CC}">
                <c16:uniqueId val="{00000003-E8F9-404F-816E-C6109F1A6E83}"/>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w="12700000" h="63500" prst="angle"/>
                <a:bevelB w="0"/>
              </a:sp3d>
            </c:spPr>
            <c:extLst>
              <c:ext xmlns:c16="http://schemas.microsoft.com/office/drawing/2014/chart" uri="{C3380CC4-5D6E-409C-BE32-E72D297353CC}">
                <c16:uniqueId val="{00000005-E8F9-404F-816E-C6109F1A6E83}"/>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w="12700000" h="63500" prst="angle"/>
                <a:bevelB w="0"/>
              </a:sp3d>
            </c:spPr>
            <c:extLst>
              <c:ext xmlns:c16="http://schemas.microsoft.com/office/drawing/2014/chart" uri="{C3380CC4-5D6E-409C-BE32-E72D297353CC}">
                <c16:uniqueId val="{00000007-E8F9-404F-816E-C6109F1A6E83}"/>
              </c:ext>
            </c:extLst>
          </c:dPt>
          <c:dLbls>
            <c:spPr>
              <a:solidFill>
                <a:sysClr val="window" lastClr="FFFFFF">
                  <a:lumMod val="65000"/>
                </a:sys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ln>
                      <a:noFill/>
                    </a:ln>
                    <a:solidFill>
                      <a:schemeClr val="tx1">
                        <a:lumMod val="95000"/>
                        <a:lumOff val="5000"/>
                      </a:schemeClr>
                    </a:solidFill>
                    <a:effectLst>
                      <a:outerShdw blurRad="38100" dist="12700" dir="2700000" algn="tl" rotWithShape="0">
                        <a:prstClr val="black">
                          <a:alpha val="40000"/>
                        </a:prstClr>
                      </a:outerShdw>
                    </a:effectLst>
                    <a:latin typeface="+mn-lt"/>
                    <a:ea typeface="+mn-ea"/>
                    <a:cs typeface="+mn-cs"/>
                  </a:defRPr>
                </a:pPr>
                <a:endParaRPr lang="en-US"/>
              </a:p>
            </c:txPr>
            <c:dLblPos val="in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'Fatalities by Type of Incidents'!$A$4:$A$6</c:f>
              <c:strCache>
                <c:ptCount val="2"/>
                <c:pt idx="0">
                  <c:v>Armed Conflict</c:v>
                </c:pt>
                <c:pt idx="1">
                  <c:v>Kidnapping</c:v>
                </c:pt>
              </c:strCache>
            </c:strRef>
          </c:cat>
          <c:val>
            <c:numRef>
              <c:f>'Fatalities by Type of Incidents'!$B$4:$B$6</c:f>
              <c:numCache>
                <c:formatCode>0</c:formatCode>
                <c:ptCount val="2"/>
                <c:pt idx="0">
                  <c:v>12</c:v>
                </c:pt>
                <c:pt idx="1">
                  <c:v>5</c:v>
                </c:pt>
              </c:numCache>
            </c:numRef>
          </c:val>
          <c:extLst>
            <c:ext xmlns:c16="http://schemas.microsoft.com/office/drawing/2014/chart" uri="{C3380CC4-5D6E-409C-BE32-E72D297353CC}">
              <c16:uniqueId val="{00000023-A6E9-4064-9521-C3F63FD9A098}"/>
            </c:ext>
          </c:extLst>
        </c:ser>
        <c:dLbls>
          <c:dLblPos val="inEnd"/>
          <c:showLegendKey val="0"/>
          <c:showVal val="0"/>
          <c:showCatName val="0"/>
          <c:showSerName val="0"/>
          <c:showPercent val="0"/>
          <c:showBubbleSize val="0"/>
          <c:showLeaderLines val="0"/>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scene3d>
      <a:camera prst="orthographicFront"/>
      <a:lightRig rig="threePt" dir="t"/>
    </a:scene3d>
    <a:sp3d>
      <a:bevelT w="209550" h="114300" prst="angle"/>
      <a:bevelB w="158750" h="19685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[Nigeria Conflict Analysis.xlsx]Incident type v Ftlty v State!PivotTable1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Theft</a:t>
            </a:r>
            <a:r>
              <a:rPr lang="en-US" baseline="0"/>
              <a:t> and Civil Unrest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75000"/>
            </a:schemeClr>
          </a:solidFill>
          <a:ln>
            <a:noFill/>
          </a:ln>
          <a:effectLst>
            <a:outerShdw blurRad="57150" dist="19050" dir="5400000" algn="ctr" rotWithShape="0">
              <a:srgbClr val="000000">
                <a:alpha val="63000"/>
              </a:srgbClr>
            </a:outerShdw>
          </a:effectLst>
          <a:scene3d>
            <a:camera prst="orthographicFront"/>
            <a:lightRig rig="threePt" dir="t"/>
          </a:scene3d>
          <a:sp3d>
            <a:bevelT prst="angle"/>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a:outerShdw blurRad="57150" dist="19050" dir="5400000" algn="ctr" rotWithShape="0">
              <a:srgbClr val="000000">
                <a:alpha val="63000"/>
              </a:srgbClr>
            </a:outerShdw>
          </a:effectLst>
          <a:scene3d>
            <a:camera prst="orthographicFront"/>
            <a:lightRig rig="threePt" dir="t"/>
          </a:scene3d>
          <a:sp3d>
            <a:bevelT prst="angle"/>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85000"/>
                      <a:lumOff val="1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C00000"/>
          </a:solidFill>
          <a:ln>
            <a:noFill/>
          </a:ln>
          <a:effectLst>
            <a:outerShdw blurRad="57150" dist="19050" dir="5400000" algn="ctr" rotWithShape="0">
              <a:srgbClr val="000000">
                <a:alpha val="63000"/>
              </a:srgbClr>
            </a:outerShdw>
          </a:effectLst>
          <a:scene3d>
            <a:camera prst="orthographicFront"/>
            <a:lightRig rig="threePt" dir="t"/>
          </a:scene3d>
          <a:sp3d>
            <a:bevelT prst="angle"/>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prst="angle"/>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effectLst>
                    <a:glow rad="127000">
                      <a:schemeClr val="tx1"/>
                    </a:glow>
                  </a:effectLst>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'Incident type v Ftlty v State'!$B$3:$B$4</c:f>
              <c:strCache>
                <c:ptCount val="1"/>
                <c:pt idx="0">
                  <c:v>Armed Conflict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prst="angle"/>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effectLst>
                      <a:glow rad="127000">
                        <a:schemeClr val="tx1"/>
                      </a:glow>
                    </a:effectLst>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'Incident type v Ftlty v State'!$A$5:$A$18</c:f>
              <c:strCache>
                <c:ptCount val="13"/>
                <c:pt idx="0">
                  <c:v>Bauchi</c:v>
                </c:pt>
                <c:pt idx="1">
                  <c:v>Borno</c:v>
                </c:pt>
                <c:pt idx="2">
                  <c:v>Delta</c:v>
                </c:pt>
                <c:pt idx="3">
                  <c:v>Edo</c:v>
                </c:pt>
                <c:pt idx="4">
                  <c:v>Enugu</c:v>
                </c:pt>
                <c:pt idx="5">
                  <c:v>FCT</c:v>
                </c:pt>
                <c:pt idx="6">
                  <c:v>Kaduna</c:v>
                </c:pt>
                <c:pt idx="7">
                  <c:v>Kano</c:v>
                </c:pt>
                <c:pt idx="8">
                  <c:v>Lagos</c:v>
                </c:pt>
                <c:pt idx="9">
                  <c:v>Oyo</c:v>
                </c:pt>
                <c:pt idx="10">
                  <c:v>Plateau</c:v>
                </c:pt>
                <c:pt idx="11">
                  <c:v>Rivers</c:v>
                </c:pt>
                <c:pt idx="12">
                  <c:v>Sokoto</c:v>
                </c:pt>
              </c:strCache>
            </c:strRef>
          </c:cat>
          <c:val>
            <c:numRef>
              <c:f>'Incident type v Ftlty v State'!$B$5:$B$18</c:f>
              <c:numCache>
                <c:formatCode>0</c:formatCode>
                <c:ptCount val="13"/>
                <c:pt idx="1">
                  <c:v>12</c:v>
                </c:pt>
                <c:pt idx="7">
                  <c:v>15</c:v>
                </c:pt>
                <c:pt idx="12">
                  <c:v>0</c:v>
                </c:pt>
              </c:numCache>
            </c:numRef>
          </c:val>
          <c:extLst>
            <c:ext xmlns:c16="http://schemas.microsoft.com/office/drawing/2014/chart" uri="{C3380CC4-5D6E-409C-BE32-E72D297353CC}">
              <c16:uniqueId val="{00000000-7A4C-4AD9-ABD2-CE228B5B93E3}"/>
            </c:ext>
          </c:extLst>
        </c:ser>
        <c:ser>
          <c:idx val="1"/>
          <c:order val="1"/>
          <c:tx>
            <c:strRef>
              <c:f>'Incident type v Ftlty v State'!$C$3:$C$4</c:f>
              <c:strCache>
                <c:ptCount val="1"/>
                <c:pt idx="0">
                  <c:v>Civil Unrest</c:v>
                </c:pt>
              </c:strCache>
            </c:strRef>
          </c:tx>
          <c:spPr>
            <a:solidFill>
              <a:schemeClr val="accent4">
                <a:lumMod val="75000"/>
              </a:schemeClr>
            </a:solidFill>
            <a:ln>
              <a:noFill/>
            </a:ln>
            <a:effectLst>
              <a:outerShdw blurRad="57150" dist="19050" dir="5400000" algn="ctr" rotWithShape="0">
                <a:srgbClr val="000000">
                  <a:alpha val="63000"/>
                </a:srgbClr>
              </a:outerShdw>
            </a:effectLst>
            <a:scene3d>
              <a:camera prst="orthographicFront"/>
              <a:lightRig rig="threePt" dir="t"/>
            </a:scene3d>
            <a:sp3d>
              <a:bevelT prst="angle"/>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'Incident type v Ftlty v State'!$A$5:$A$18</c:f>
              <c:strCache>
                <c:ptCount val="13"/>
                <c:pt idx="0">
                  <c:v>Bauchi</c:v>
                </c:pt>
                <c:pt idx="1">
                  <c:v>Borno</c:v>
                </c:pt>
                <c:pt idx="2">
                  <c:v>Delta</c:v>
                </c:pt>
                <c:pt idx="3">
                  <c:v>Edo</c:v>
                </c:pt>
                <c:pt idx="4">
                  <c:v>Enugu</c:v>
                </c:pt>
                <c:pt idx="5">
                  <c:v>FCT</c:v>
                </c:pt>
                <c:pt idx="6">
                  <c:v>Kaduna</c:v>
                </c:pt>
                <c:pt idx="7">
                  <c:v>Kano</c:v>
                </c:pt>
                <c:pt idx="8">
                  <c:v>Lagos</c:v>
                </c:pt>
                <c:pt idx="9">
                  <c:v>Oyo</c:v>
                </c:pt>
                <c:pt idx="10">
                  <c:v>Plateau</c:v>
                </c:pt>
                <c:pt idx="11">
                  <c:v>Rivers</c:v>
                </c:pt>
                <c:pt idx="12">
                  <c:v>Sokoto</c:v>
                </c:pt>
              </c:strCache>
            </c:strRef>
          </c:cat>
          <c:val>
            <c:numRef>
              <c:f>'Incident type v Ftlty v State'!$C$5:$C$18</c:f>
              <c:numCache>
                <c:formatCode>0</c:formatCode>
                <c:ptCount val="13"/>
                <c:pt idx="2">
                  <c:v>1</c:v>
                </c:pt>
                <c:pt idx="8">
                  <c:v>5</c:v>
                </c:pt>
              </c:numCache>
            </c:numRef>
          </c:val>
          <c:extLst>
            <c:ext xmlns:c16="http://schemas.microsoft.com/office/drawing/2014/chart" uri="{C3380CC4-5D6E-409C-BE32-E72D297353CC}">
              <c16:uniqueId val="{00000016-AE99-42F9-857F-7D044D782F37}"/>
            </c:ext>
          </c:extLst>
        </c:ser>
        <c:ser>
          <c:idx val="2"/>
          <c:order val="2"/>
          <c:tx>
            <c:strRef>
              <c:f>'Incident type v Ftlty v State'!$D$3:$D$4</c:f>
              <c:strCache>
                <c:ptCount val="1"/>
                <c:pt idx="0">
                  <c:v>Kidnapping</c:v>
                </c:pt>
              </c:strCache>
            </c:strRef>
          </c:tx>
          <c:spPr>
            <a:solidFill>
              <a:schemeClr val="accent6"/>
            </a:solidFill>
            <a:ln>
              <a:noFill/>
            </a:ln>
            <a:effectLst>
              <a:outerShdw blurRad="57150" dist="19050" dir="5400000" algn="ctr" rotWithShape="0">
                <a:srgbClr val="000000">
                  <a:alpha val="63000"/>
                </a:srgbClr>
              </a:outerShdw>
            </a:effectLst>
            <a:scene3d>
              <a:camera prst="orthographicFront"/>
              <a:lightRig rig="threePt" dir="t"/>
            </a:scene3d>
            <a:sp3d>
              <a:bevelT prst="angle"/>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85000"/>
                        <a:lumOff val="1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'Incident type v Ftlty v State'!$A$5:$A$18</c:f>
              <c:strCache>
                <c:ptCount val="13"/>
                <c:pt idx="0">
                  <c:v>Bauchi</c:v>
                </c:pt>
                <c:pt idx="1">
                  <c:v>Borno</c:v>
                </c:pt>
                <c:pt idx="2">
                  <c:v>Delta</c:v>
                </c:pt>
                <c:pt idx="3">
                  <c:v>Edo</c:v>
                </c:pt>
                <c:pt idx="4">
                  <c:v>Enugu</c:v>
                </c:pt>
                <c:pt idx="5">
                  <c:v>FCT</c:v>
                </c:pt>
                <c:pt idx="6">
                  <c:v>Kaduna</c:v>
                </c:pt>
                <c:pt idx="7">
                  <c:v>Kano</c:v>
                </c:pt>
                <c:pt idx="8">
                  <c:v>Lagos</c:v>
                </c:pt>
                <c:pt idx="9">
                  <c:v>Oyo</c:v>
                </c:pt>
                <c:pt idx="10">
                  <c:v>Plateau</c:v>
                </c:pt>
                <c:pt idx="11">
                  <c:v>Rivers</c:v>
                </c:pt>
                <c:pt idx="12">
                  <c:v>Sokoto</c:v>
                </c:pt>
              </c:strCache>
            </c:strRef>
          </c:cat>
          <c:val>
            <c:numRef>
              <c:f>'Incident type v Ftlty v State'!$D$5:$D$18</c:f>
              <c:numCache>
                <c:formatCode>0</c:formatCode>
                <c:ptCount val="13"/>
                <c:pt idx="0">
                  <c:v>0</c:v>
                </c:pt>
                <c:pt idx="1">
                  <c:v>5</c:v>
                </c:pt>
                <c:pt idx="5">
                  <c:v>2</c:v>
                </c:pt>
                <c:pt idx="6">
                  <c:v>0</c:v>
                </c:pt>
              </c:numCache>
            </c:numRef>
          </c:val>
          <c:extLst>
            <c:ext xmlns:c16="http://schemas.microsoft.com/office/drawing/2014/chart" uri="{C3380CC4-5D6E-409C-BE32-E72D297353CC}">
              <c16:uniqueId val="{0000001D-AE99-42F9-857F-7D044D782F37}"/>
            </c:ext>
          </c:extLst>
        </c:ser>
        <c:ser>
          <c:idx val="3"/>
          <c:order val="3"/>
          <c:tx>
            <c:strRef>
              <c:f>'Incident type v Ftlty v State'!$E$3:$E$4</c:f>
              <c:strCache>
                <c:ptCount val="1"/>
                <c:pt idx="0">
                  <c:v>Theft</c:v>
                </c:pt>
              </c:strCache>
            </c:strRef>
          </c:tx>
          <c:spPr>
            <a:solidFill>
              <a:srgbClr val="C00000"/>
            </a:solidFill>
            <a:ln>
              <a:noFill/>
            </a:ln>
            <a:effectLst>
              <a:outerShdw blurRad="57150" dist="19050" dir="5400000" algn="ctr" rotWithShape="0">
                <a:srgbClr val="000000">
                  <a:alpha val="63000"/>
                </a:srgbClr>
              </a:outerShdw>
            </a:effectLst>
            <a:scene3d>
              <a:camera prst="orthographicFront"/>
              <a:lightRig rig="threePt" dir="t"/>
            </a:scene3d>
            <a:sp3d>
              <a:bevelT prst="angle"/>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'Incident type v Ftlty v State'!$A$5:$A$18</c:f>
              <c:strCache>
                <c:ptCount val="13"/>
                <c:pt idx="0">
                  <c:v>Bauchi</c:v>
                </c:pt>
                <c:pt idx="1">
                  <c:v>Borno</c:v>
                </c:pt>
                <c:pt idx="2">
                  <c:v>Delta</c:v>
                </c:pt>
                <c:pt idx="3">
                  <c:v>Edo</c:v>
                </c:pt>
                <c:pt idx="4">
                  <c:v>Enugu</c:v>
                </c:pt>
                <c:pt idx="5">
                  <c:v>FCT</c:v>
                </c:pt>
                <c:pt idx="6">
                  <c:v>Kaduna</c:v>
                </c:pt>
                <c:pt idx="7">
                  <c:v>Kano</c:v>
                </c:pt>
                <c:pt idx="8">
                  <c:v>Lagos</c:v>
                </c:pt>
                <c:pt idx="9">
                  <c:v>Oyo</c:v>
                </c:pt>
                <c:pt idx="10">
                  <c:v>Plateau</c:v>
                </c:pt>
                <c:pt idx="11">
                  <c:v>Rivers</c:v>
                </c:pt>
                <c:pt idx="12">
                  <c:v>Sokoto</c:v>
                </c:pt>
              </c:strCache>
            </c:strRef>
          </c:cat>
          <c:val>
            <c:numRef>
              <c:f>'Incident type v Ftlty v State'!$E$5:$E$18</c:f>
              <c:numCache>
                <c:formatCode>0</c:formatCode>
                <c:ptCount val="13"/>
                <c:pt idx="3">
                  <c:v>0</c:v>
                </c:pt>
                <c:pt idx="4">
                  <c:v>0</c:v>
                </c:pt>
                <c:pt idx="5">
                  <c:v>2</c:v>
                </c:pt>
                <c:pt idx="7">
                  <c:v>1</c:v>
                </c:pt>
                <c:pt idx="9">
                  <c:v>1</c:v>
                </c:pt>
                <c:pt idx="10">
                  <c:v>3</c:v>
                </c:pt>
                <c:pt idx="11">
                  <c:v>0</c:v>
                </c:pt>
              </c:numCache>
            </c:numRef>
          </c:val>
          <c:extLst>
            <c:ext xmlns:c16="http://schemas.microsoft.com/office/drawing/2014/chart" uri="{C3380CC4-5D6E-409C-BE32-E72D297353CC}">
              <c16:uniqueId val="{0000001E-AE99-42F9-857F-7D044D782F37}"/>
            </c:ext>
          </c:extLst>
        </c:ser>
        <c:dLbls>
          <c:dLblPos val="ctr"/>
          <c:showLegendKey val="0"/>
          <c:showVal val="1"/>
          <c:showCatName val="0"/>
          <c:showSerName val="0"/>
          <c:showPercent val="0"/>
          <c:showBubbleSize val="0"/>
        </c:dLbls>
        <c:gapWidth val="60"/>
        <c:overlap val="100"/>
        <c:axId val="844872415"/>
        <c:axId val="844871455"/>
      </c:barChart>
      <c:catAx>
        <c:axId val="84487241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44871455"/>
        <c:crosses val="autoZero"/>
        <c:auto val="1"/>
        <c:lblAlgn val="ctr"/>
        <c:lblOffset val="100"/>
        <c:noMultiLvlLbl val="0"/>
      </c:catAx>
      <c:valAx>
        <c:axId val="844871455"/>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448724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scene3d>
      <a:camera prst="orthographicFront"/>
      <a:lightRig rig="threePt" dir="t"/>
    </a:scene3d>
    <a:sp3d>
      <a:bevelT w="222250" h="44450" prst="angle"/>
      <a:bevelB w="63500" h="24765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2</xdr:col>
      <xdr:colOff>450850</xdr:colOff>
      <xdr:row>1</xdr:row>
      <xdr:rowOff>146050</xdr:rowOff>
    </xdr:from>
    <xdr:to>
      <xdr:col>11</xdr:col>
      <xdr:colOff>304800</xdr:colOff>
      <xdr:row>16</xdr:row>
      <xdr:rowOff>57150</xdr:rowOff>
    </xdr:to>
    <xdr:graphicFrame macro="">
      <xdr:nvGraphicFramePr>
        <xdr:cNvPr id="2" name="Chart 1">
          <a:extLst>
            <a:ext uri="{FF2B5EF4-FFF2-40B4-BE49-F238E27FC236}">
              <a16:creationId xmlns:a16="http://schemas.microsoft.com/office/drawing/2014/main" id="{162BE3F8-0F36-DF53-FAFA-34F28C01E4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1003300</xdr:colOff>
      <xdr:row>1</xdr:row>
      <xdr:rowOff>177800</xdr:rowOff>
    </xdr:from>
    <xdr:to>
      <xdr:col>9</xdr:col>
      <xdr:colOff>50800</xdr:colOff>
      <xdr:row>16</xdr:row>
      <xdr:rowOff>158750</xdr:rowOff>
    </xdr:to>
    <xdr:graphicFrame macro="">
      <xdr:nvGraphicFramePr>
        <xdr:cNvPr id="2" name="Chart 1">
          <a:extLst>
            <a:ext uri="{FF2B5EF4-FFF2-40B4-BE49-F238E27FC236}">
              <a16:creationId xmlns:a16="http://schemas.microsoft.com/office/drawing/2014/main" id="{938CF3A5-7B34-F5C1-7ACD-FC20DC6EDA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120650</xdr:colOff>
      <xdr:row>2</xdr:row>
      <xdr:rowOff>0</xdr:rowOff>
    </xdr:from>
    <xdr:to>
      <xdr:col>3</xdr:col>
      <xdr:colOff>863600</xdr:colOff>
      <xdr:row>15</xdr:row>
      <xdr:rowOff>57150</xdr:rowOff>
    </xdr:to>
    <mc:AlternateContent xmlns:mc="http://schemas.openxmlformats.org/markup-compatibility/2006" xmlns:a14="http://schemas.microsoft.com/office/drawing/2010/main">
      <mc:Choice Requires="a14">
        <xdr:graphicFrame macro="">
          <xdr:nvGraphicFramePr>
            <xdr:cNvPr id="3" name="State">
              <a:extLst>
                <a:ext uri="{FF2B5EF4-FFF2-40B4-BE49-F238E27FC236}">
                  <a16:creationId xmlns:a16="http://schemas.microsoft.com/office/drawing/2014/main" id="{3F998946-DEC5-AC6F-C61A-0F2BEAC39DE8}"/>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2076450" y="368300"/>
              <a:ext cx="1809750" cy="24511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10</xdr:col>
      <xdr:colOff>444500</xdr:colOff>
      <xdr:row>1</xdr:row>
      <xdr:rowOff>38100</xdr:rowOff>
    </xdr:from>
    <xdr:to>
      <xdr:col>20</xdr:col>
      <xdr:colOff>165100</xdr:colOff>
      <xdr:row>15</xdr:row>
      <xdr:rowOff>19050</xdr:rowOff>
    </xdr:to>
    <xdr:graphicFrame macro="">
      <xdr:nvGraphicFramePr>
        <xdr:cNvPr id="2" name="Chart 1">
          <a:extLst>
            <a:ext uri="{FF2B5EF4-FFF2-40B4-BE49-F238E27FC236}">
              <a16:creationId xmlns:a16="http://schemas.microsoft.com/office/drawing/2014/main" id="{5BA4FE2B-00E9-8E21-3D4F-5EB67A4F31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412750</xdr:colOff>
      <xdr:row>2</xdr:row>
      <xdr:rowOff>158751</xdr:rowOff>
    </xdr:from>
    <xdr:to>
      <xdr:col>10</xdr:col>
      <xdr:colOff>412750</xdr:colOff>
      <xdr:row>12</xdr:row>
      <xdr:rowOff>69850</xdr:rowOff>
    </xdr:to>
    <mc:AlternateContent xmlns:mc="http://schemas.openxmlformats.org/markup-compatibility/2006" xmlns:a14="http://schemas.microsoft.com/office/drawing/2010/main">
      <mc:Choice Requires="a14">
        <xdr:graphicFrame macro="">
          <xdr:nvGraphicFramePr>
            <xdr:cNvPr id="3" name="Incident_Type">
              <a:extLst>
                <a:ext uri="{FF2B5EF4-FFF2-40B4-BE49-F238E27FC236}">
                  <a16:creationId xmlns:a16="http://schemas.microsoft.com/office/drawing/2014/main" id="{0B76AECB-B7F1-7F1A-6EAF-1136B42849D8}"/>
                </a:ext>
              </a:extLst>
            </xdr:cNvPr>
            <xdr:cNvGraphicFramePr/>
          </xdr:nvGraphicFramePr>
          <xdr:xfrm>
            <a:off x="0" y="0"/>
            <a:ext cx="0" cy="0"/>
          </xdr:xfrm>
          <a:graphic>
            <a:graphicData uri="http://schemas.microsoft.com/office/drawing/2010/slicer">
              <sle:slicer xmlns:sle="http://schemas.microsoft.com/office/drawing/2010/slicer" name="Incident_Type"/>
            </a:graphicData>
          </a:graphic>
        </xdr:graphicFrame>
      </mc:Choice>
      <mc:Fallback xmlns="">
        <xdr:sp macro="" textlink="">
          <xdr:nvSpPr>
            <xdr:cNvPr id="0" name=""/>
            <xdr:cNvSpPr>
              <a:spLocks noTextEdit="1"/>
            </xdr:cNvSpPr>
          </xdr:nvSpPr>
          <xdr:spPr>
            <a:xfrm>
              <a:off x="5664200" y="527051"/>
              <a:ext cx="1828800" cy="17525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20.158150694442" createdVersion="8" refreshedVersion="8" minRefreshableVersion="3" recordCount="17" xr:uid="{0ED32B89-C6FB-47E5-A92E-E7860A97548C}">
  <cacheSource type="worksheet">
    <worksheetSource name="Table1"/>
  </cacheSource>
  <cacheFields count="6">
    <cacheField name="Incident_ID" numFmtId="0">
      <sharedItems/>
    </cacheField>
    <cacheField name="Date" numFmtId="164">
      <sharedItems containsDate="1" containsMixedTypes="1" minDate="2025-02-28T00:00:00" maxDate="2025-12-26T00:00:00"/>
    </cacheField>
    <cacheField name="City" numFmtId="0">
      <sharedItems/>
    </cacheField>
    <cacheField name="State" numFmtId="0">
      <sharedItems count="13">
        <s v="Borno"/>
        <s v="FCT"/>
        <s v="Rivers"/>
        <s v="Oyo"/>
        <s v="Lagos"/>
        <s v="Kano"/>
        <s v="Enugu"/>
        <s v="Kaduna"/>
        <s v="Plateau"/>
        <s v="Sokoto"/>
        <s v="Edo"/>
        <s v="Delta"/>
        <s v="Bauchi"/>
      </sharedItems>
    </cacheField>
    <cacheField name="Incident_Type" numFmtId="0">
      <sharedItems count="4">
        <s v="Kidnapping"/>
        <s v="Theft"/>
        <s v="Civil Unrest"/>
        <s v="Armed Conflict"/>
      </sharedItems>
    </cacheField>
    <cacheField name="Fatalities" numFmtId="1">
      <sharedItems containsSemiMixedTypes="0" containsString="0" containsNumber="1" containsInteger="1" minValue="0" maxValue="15"/>
    </cacheField>
  </cacheFields>
  <extLst>
    <ext xmlns:x14="http://schemas.microsoft.com/office/spreadsheetml/2009/9/main" uri="{725AE2AE-9491-48be-B2B4-4EB974FC3084}">
      <x14:pivotCacheDefinition pivotCacheId="58947525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
  <r>
    <s v="INC-1001"/>
    <s v="14/05/2025"/>
    <s v="Maiduguri "/>
    <x v="0"/>
    <x v="0"/>
    <n v="5"/>
  </r>
  <r>
    <s v="INC-1002"/>
    <d v="2025-05-14T00:00:00"/>
    <s v="Abuja "/>
    <x v="1"/>
    <x v="0"/>
    <n v="2"/>
  </r>
  <r>
    <s v="INC-1003"/>
    <s v="20/06/2025"/>
    <s v="Port Harcourt "/>
    <x v="2"/>
    <x v="1"/>
    <n v="0"/>
  </r>
  <r>
    <s v="INC-1005"/>
    <s v="22/07/2025"/>
    <s v="Ibadan "/>
    <x v="3"/>
    <x v="1"/>
    <n v="1"/>
  </r>
  <r>
    <s v="INC-1006"/>
    <d v="2025-08-01T00:00:00"/>
    <s v="Lagos "/>
    <x v="4"/>
    <x v="2"/>
    <n v="0"/>
  </r>
  <r>
    <s v="INC-1007"/>
    <d v="2025-09-12T00:00:00"/>
    <s v="Kano "/>
    <x v="5"/>
    <x v="3"/>
    <n v="15"/>
  </r>
  <r>
    <s v="INC-1008"/>
    <d v="2025-10-10T00:00:00"/>
    <s v="Enugu "/>
    <x v="6"/>
    <x v="1"/>
    <n v="0"/>
  </r>
  <r>
    <s v="INC-1010"/>
    <d v="2025-11-11T00:00:00"/>
    <s v="Kaduna "/>
    <x v="7"/>
    <x v="0"/>
    <n v="0"/>
  </r>
  <r>
    <s v="INC-1011"/>
    <s v="13/05/2025"/>
    <s v="Jos "/>
    <x v="8"/>
    <x v="1"/>
    <n v="3"/>
  </r>
  <r>
    <s v="INC-1012"/>
    <d v="2025-02-28T00:00:00"/>
    <s v="Sokoto "/>
    <x v="9"/>
    <x v="3"/>
    <n v="0"/>
  </r>
  <r>
    <s v="INC-1013"/>
    <s v="15/08/2025"/>
    <s v="Benin "/>
    <x v="10"/>
    <x v="1"/>
    <n v="0"/>
  </r>
  <r>
    <s v="INC-1014"/>
    <d v="2025-04-04T00:00:00"/>
    <s v="Asaba "/>
    <x v="11"/>
    <x v="2"/>
    <n v="1"/>
  </r>
  <r>
    <s v="INC-1015"/>
    <s v="19/09/2025"/>
    <s v="Bauchi "/>
    <x v="12"/>
    <x v="0"/>
    <n v="0"/>
  </r>
  <r>
    <s v="INC-1016"/>
    <d v="2025-12-25T00:00:00"/>
    <s v="Abuja "/>
    <x v="1"/>
    <x v="1"/>
    <n v="2"/>
  </r>
  <r>
    <s v="INC-1018"/>
    <s v="15/02/2025"/>
    <s v="Lagos "/>
    <x v="4"/>
    <x v="2"/>
    <n v="5"/>
  </r>
  <r>
    <s v="INC-1019"/>
    <d v="2025-03-03T00:00:00"/>
    <s v="Maiduguri "/>
    <x v="0"/>
    <x v="3"/>
    <n v="12"/>
  </r>
  <r>
    <s v="INC-1020"/>
    <s v="18/04/2025"/>
    <s v="Kano "/>
    <x v="5"/>
    <x v="1"/>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C95A2DA-30A5-43AA-84EA-0ECA822FB0F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17" firstHeaderRow="1" firstDataRow="1" firstDataCol="1"/>
  <pivotFields count="6">
    <pivotField showAll="0"/>
    <pivotField showAll="0"/>
    <pivotField showAll="0"/>
    <pivotField axis="axisRow" showAll="0">
      <items count="14">
        <item x="12"/>
        <item x="0"/>
        <item x="11"/>
        <item x="10"/>
        <item x="6"/>
        <item x="1"/>
        <item x="7"/>
        <item x="5"/>
        <item x="4"/>
        <item x="3"/>
        <item x="8"/>
        <item x="2"/>
        <item x="9"/>
        <item t="default"/>
      </items>
    </pivotField>
    <pivotField showAll="0"/>
    <pivotField dataField="1" numFmtId="1" showAll="0"/>
  </pivotFields>
  <rowFields count="1">
    <field x="3"/>
  </rowFields>
  <rowItems count="14">
    <i>
      <x/>
    </i>
    <i>
      <x v="1"/>
    </i>
    <i>
      <x v="2"/>
    </i>
    <i>
      <x v="3"/>
    </i>
    <i>
      <x v="4"/>
    </i>
    <i>
      <x v="5"/>
    </i>
    <i>
      <x v="6"/>
    </i>
    <i>
      <x v="7"/>
    </i>
    <i>
      <x v="8"/>
    </i>
    <i>
      <x v="9"/>
    </i>
    <i>
      <x v="10"/>
    </i>
    <i>
      <x v="11"/>
    </i>
    <i>
      <x v="12"/>
    </i>
    <i t="grand">
      <x/>
    </i>
  </rowItems>
  <colItems count="1">
    <i/>
  </colItems>
  <dataFields count="1">
    <dataField name="Sum of Fatalities" fld="5" baseField="0" baseItem="0" numFmtId="1"/>
  </dataFields>
  <formats count="24">
    <format dxfId="47">
      <pivotArea type="all" dataOnly="0" outline="0" fieldPosition="0"/>
    </format>
    <format dxfId="46">
      <pivotArea outline="0" collapsedLevelsAreSubtotals="1" fieldPosition="0"/>
    </format>
    <format dxfId="45">
      <pivotArea field="3" type="button" dataOnly="0" labelOnly="1" outline="0" axis="axisRow" fieldPosition="0"/>
    </format>
    <format dxfId="44">
      <pivotArea dataOnly="0" labelOnly="1" fieldPosition="0">
        <references count="1">
          <reference field="3" count="0"/>
        </references>
      </pivotArea>
    </format>
    <format dxfId="43">
      <pivotArea dataOnly="0" labelOnly="1" grandRow="1" outline="0" fieldPosition="0"/>
    </format>
    <format dxfId="42">
      <pivotArea dataOnly="0" labelOnly="1" outline="0" axis="axisValues" fieldPosition="0"/>
    </format>
    <format dxfId="41">
      <pivotArea type="all" dataOnly="0" outline="0" fieldPosition="0"/>
    </format>
    <format dxfId="40">
      <pivotArea outline="0" collapsedLevelsAreSubtotals="1" fieldPosition="0"/>
    </format>
    <format dxfId="39">
      <pivotArea field="3" type="button" dataOnly="0" labelOnly="1" outline="0" axis="axisRow" fieldPosition="0"/>
    </format>
    <format dxfId="38">
      <pivotArea dataOnly="0" labelOnly="1" fieldPosition="0">
        <references count="1">
          <reference field="3" count="0"/>
        </references>
      </pivotArea>
    </format>
    <format dxfId="37">
      <pivotArea dataOnly="0" labelOnly="1" grandRow="1" outline="0" fieldPosition="0"/>
    </format>
    <format dxfId="36">
      <pivotArea dataOnly="0" labelOnly="1" outline="0" axis="axisValues" fieldPosition="0"/>
    </format>
    <format dxfId="35">
      <pivotArea type="all" dataOnly="0" outline="0" fieldPosition="0"/>
    </format>
    <format dxfId="34">
      <pivotArea outline="0" collapsedLevelsAreSubtotals="1" fieldPosition="0"/>
    </format>
    <format dxfId="33">
      <pivotArea field="3" type="button" dataOnly="0" labelOnly="1" outline="0" axis="axisRow" fieldPosition="0"/>
    </format>
    <format dxfId="32">
      <pivotArea dataOnly="0" labelOnly="1" fieldPosition="0">
        <references count="1">
          <reference field="3" count="0"/>
        </references>
      </pivotArea>
    </format>
    <format dxfId="31">
      <pivotArea dataOnly="0" labelOnly="1" grandRow="1" outline="0" fieldPosition="0"/>
    </format>
    <format dxfId="30">
      <pivotArea dataOnly="0" labelOnly="1" outline="0" axis="axisValues" fieldPosition="0"/>
    </format>
    <format dxfId="29">
      <pivotArea type="all" dataOnly="0" outline="0" fieldPosition="0"/>
    </format>
    <format dxfId="28">
      <pivotArea outline="0" collapsedLevelsAreSubtotals="1" fieldPosition="0"/>
    </format>
    <format dxfId="27">
      <pivotArea field="3" type="button" dataOnly="0" labelOnly="1" outline="0" axis="axisRow" fieldPosition="0"/>
    </format>
    <format dxfId="26">
      <pivotArea dataOnly="0" labelOnly="1" fieldPosition="0">
        <references count="1">
          <reference field="3" count="0"/>
        </references>
      </pivotArea>
    </format>
    <format dxfId="25">
      <pivotArea dataOnly="0" labelOnly="1" grandRow="1" outline="0" fieldPosition="0"/>
    </format>
    <format dxfId="24">
      <pivotArea dataOnly="0" labelOnly="1" outline="0" axis="axisValues" fieldPosition="0"/>
    </format>
  </formats>
  <chartFormats count="1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0" format="2">
      <pivotArea type="data" outline="0" fieldPosition="0">
        <references count="2">
          <reference field="4294967294" count="1" selected="0">
            <x v="0"/>
          </reference>
          <reference field="3" count="1" selected="0">
            <x v="1"/>
          </reference>
        </references>
      </pivotArea>
    </chartFormat>
    <chartFormat chart="0" format="3">
      <pivotArea type="data" outline="0" fieldPosition="0">
        <references count="2">
          <reference field="4294967294" count="1" selected="0">
            <x v="0"/>
          </reference>
          <reference field="3" count="1" selected="0">
            <x v="2"/>
          </reference>
        </references>
      </pivotArea>
    </chartFormat>
    <chartFormat chart="0" format="4">
      <pivotArea type="data" outline="0" fieldPosition="0">
        <references count="2">
          <reference field="4294967294" count="1" selected="0">
            <x v="0"/>
          </reference>
          <reference field="3" count="1" selected="0">
            <x v="3"/>
          </reference>
        </references>
      </pivotArea>
    </chartFormat>
    <chartFormat chart="0" format="5">
      <pivotArea type="data" outline="0" fieldPosition="0">
        <references count="2">
          <reference field="4294967294" count="1" selected="0">
            <x v="0"/>
          </reference>
          <reference field="3" count="1" selected="0">
            <x v="4"/>
          </reference>
        </references>
      </pivotArea>
    </chartFormat>
    <chartFormat chart="0" format="6">
      <pivotArea type="data" outline="0" fieldPosition="0">
        <references count="2">
          <reference field="4294967294" count="1" selected="0">
            <x v="0"/>
          </reference>
          <reference field="3" count="1" selected="0">
            <x v="5"/>
          </reference>
        </references>
      </pivotArea>
    </chartFormat>
    <chartFormat chart="0" format="7">
      <pivotArea type="data" outline="0" fieldPosition="0">
        <references count="2">
          <reference field="4294967294" count="1" selected="0">
            <x v="0"/>
          </reference>
          <reference field="3" count="1" selected="0">
            <x v="6"/>
          </reference>
        </references>
      </pivotArea>
    </chartFormat>
    <chartFormat chart="0" format="8">
      <pivotArea type="data" outline="0" fieldPosition="0">
        <references count="2">
          <reference field="4294967294" count="1" selected="0">
            <x v="0"/>
          </reference>
          <reference field="3" count="1" selected="0">
            <x v="7"/>
          </reference>
        </references>
      </pivotArea>
    </chartFormat>
    <chartFormat chart="0" format="9">
      <pivotArea type="data" outline="0" fieldPosition="0">
        <references count="2">
          <reference field="4294967294" count="1" selected="0">
            <x v="0"/>
          </reference>
          <reference field="3" count="1" selected="0">
            <x v="8"/>
          </reference>
        </references>
      </pivotArea>
    </chartFormat>
    <chartFormat chart="0" format="10">
      <pivotArea type="data" outline="0" fieldPosition="0">
        <references count="2">
          <reference field="4294967294" count="1" selected="0">
            <x v="0"/>
          </reference>
          <reference field="3" count="1" selected="0">
            <x v="9"/>
          </reference>
        </references>
      </pivotArea>
    </chartFormat>
    <chartFormat chart="0" format="11">
      <pivotArea type="data" outline="0" fieldPosition="0">
        <references count="2">
          <reference field="4294967294" count="1" selected="0">
            <x v="0"/>
          </reference>
          <reference field="3" count="1" selected="0">
            <x v="10"/>
          </reference>
        </references>
      </pivotArea>
    </chartFormat>
    <chartFormat chart="0" format="12">
      <pivotArea type="data" outline="0" fieldPosition="0">
        <references count="2">
          <reference field="4294967294" count="1" selected="0">
            <x v="0"/>
          </reference>
          <reference field="3" count="1" selected="0">
            <x v="11"/>
          </reference>
        </references>
      </pivotArea>
    </chartFormat>
    <chartFormat chart="0" format="13">
      <pivotArea type="data" outline="0" fieldPosition="0">
        <references count="2">
          <reference field="4294967294" count="1" selected="0">
            <x v="0"/>
          </reference>
          <reference field="3" count="1" selected="0">
            <x v="1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E5A02CD-8715-4D54-9066-80A6B0DF235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6" firstHeaderRow="1" firstDataRow="1" firstDataCol="1" rowPageCount="1" colPageCount="1"/>
  <pivotFields count="6">
    <pivotField showAll="0"/>
    <pivotField showAll="0"/>
    <pivotField showAll="0"/>
    <pivotField axis="axisPage" multipleItemSelectionAllowed="1" showAll="0">
      <items count="14">
        <item h="1" x="12"/>
        <item x="0"/>
        <item h="1" x="11"/>
        <item h="1" x="10"/>
        <item h="1" x="6"/>
        <item h="1" x="1"/>
        <item h="1" x="7"/>
        <item h="1" x="5"/>
        <item h="1" x="4"/>
        <item h="1" x="3"/>
        <item h="1" x="8"/>
        <item h="1" x="2"/>
        <item h="1" x="9"/>
        <item t="default"/>
      </items>
    </pivotField>
    <pivotField axis="axisRow" showAll="0">
      <items count="5">
        <item x="3"/>
        <item x="2"/>
        <item x="0"/>
        <item x="1"/>
        <item t="default"/>
      </items>
    </pivotField>
    <pivotField dataField="1" numFmtId="1" showAll="0"/>
  </pivotFields>
  <rowFields count="1">
    <field x="4"/>
  </rowFields>
  <rowItems count="3">
    <i>
      <x/>
    </i>
    <i>
      <x v="2"/>
    </i>
    <i t="grand">
      <x/>
    </i>
  </rowItems>
  <colItems count="1">
    <i/>
  </colItems>
  <pageFields count="1">
    <pageField fld="3" hier="-1"/>
  </pageFields>
  <dataFields count="1">
    <dataField name="Sum of Fatalities" fld="5" baseField="0" baseItem="0" numFmtId="1"/>
  </dataFields>
  <formats count="12">
    <format dxfId="23">
      <pivotArea type="all" dataOnly="0" outline="0" fieldPosition="0"/>
    </format>
    <format dxfId="22">
      <pivotArea outline="0" collapsedLevelsAreSubtotals="1" fieldPosition="0"/>
    </format>
    <format dxfId="21">
      <pivotArea field="4" type="button" dataOnly="0" labelOnly="1" outline="0" axis="axisRow" fieldPosition="0"/>
    </format>
    <format dxfId="20">
      <pivotArea dataOnly="0" labelOnly="1" fieldPosition="0">
        <references count="1">
          <reference field="4" count="0"/>
        </references>
      </pivotArea>
    </format>
    <format dxfId="19">
      <pivotArea dataOnly="0" labelOnly="1" grandRow="1" outline="0" fieldPosition="0"/>
    </format>
    <format dxfId="18">
      <pivotArea dataOnly="0" labelOnly="1" outline="0" axis="axisValues" fieldPosition="0"/>
    </format>
    <format dxfId="17">
      <pivotArea type="all" dataOnly="0" outline="0" fieldPosition="0"/>
    </format>
    <format dxfId="16">
      <pivotArea outline="0" collapsedLevelsAreSubtotals="1" fieldPosition="0"/>
    </format>
    <format dxfId="15">
      <pivotArea field="4" type="button" dataOnly="0" labelOnly="1" outline="0" axis="axisRow" fieldPosition="0"/>
    </format>
    <format dxfId="14">
      <pivotArea dataOnly="0" labelOnly="1" fieldPosition="0">
        <references count="1">
          <reference field="4" count="0"/>
        </references>
      </pivotArea>
    </format>
    <format dxfId="13">
      <pivotArea dataOnly="0" labelOnly="1" grandRow="1" outline="0" fieldPosition="0"/>
    </format>
    <format dxfId="12">
      <pivotArea dataOnly="0" labelOnly="1" outline="0" axis="axisValues" fieldPosition="0"/>
    </format>
  </formats>
  <chartFormats count="5">
    <chartFormat chart="0" format="35" series="1">
      <pivotArea type="data" outline="0" fieldPosition="0">
        <references count="1">
          <reference field="4294967294" count="1" selected="0">
            <x v="0"/>
          </reference>
        </references>
      </pivotArea>
    </chartFormat>
    <chartFormat chart="0" format="36">
      <pivotArea type="data" outline="0" fieldPosition="0">
        <references count="2">
          <reference field="4294967294" count="1" selected="0">
            <x v="0"/>
          </reference>
          <reference field="4" count="1" selected="0">
            <x v="0"/>
          </reference>
        </references>
      </pivotArea>
    </chartFormat>
    <chartFormat chart="0" format="37">
      <pivotArea type="data" outline="0" fieldPosition="0">
        <references count="2">
          <reference field="4294967294" count="1" selected="0">
            <x v="0"/>
          </reference>
          <reference field="4" count="1" selected="0">
            <x v="1"/>
          </reference>
        </references>
      </pivotArea>
    </chartFormat>
    <chartFormat chart="0" format="38">
      <pivotArea type="data" outline="0" fieldPosition="0">
        <references count="2">
          <reference field="4294967294" count="1" selected="0">
            <x v="0"/>
          </reference>
          <reference field="4" count="1" selected="0">
            <x v="2"/>
          </reference>
        </references>
      </pivotArea>
    </chartFormat>
    <chartFormat chart="0" format="39">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6D059ED-9CC0-4C97-9853-EB2BDA004AC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F18" firstHeaderRow="1" firstDataRow="2" firstDataCol="1"/>
  <pivotFields count="6">
    <pivotField showAll="0"/>
    <pivotField showAll="0"/>
    <pivotField showAll="0"/>
    <pivotField axis="axisRow" showAll="0">
      <items count="14">
        <item x="12"/>
        <item x="0"/>
        <item x="11"/>
        <item x="10"/>
        <item x="6"/>
        <item x="1"/>
        <item x="7"/>
        <item x="5"/>
        <item x="4"/>
        <item x="3"/>
        <item x="8"/>
        <item x="2"/>
        <item x="9"/>
        <item t="default"/>
      </items>
    </pivotField>
    <pivotField axis="axisCol" showAll="0">
      <items count="5">
        <item x="3"/>
        <item x="2"/>
        <item x="0"/>
        <item x="1"/>
        <item t="default"/>
      </items>
    </pivotField>
    <pivotField dataField="1" numFmtId="1" showAll="0"/>
  </pivotFields>
  <rowFields count="1">
    <field x="3"/>
  </rowFields>
  <rowItems count="14">
    <i>
      <x/>
    </i>
    <i>
      <x v="1"/>
    </i>
    <i>
      <x v="2"/>
    </i>
    <i>
      <x v="3"/>
    </i>
    <i>
      <x v="4"/>
    </i>
    <i>
      <x v="5"/>
    </i>
    <i>
      <x v="6"/>
    </i>
    <i>
      <x v="7"/>
    </i>
    <i>
      <x v="8"/>
    </i>
    <i>
      <x v="9"/>
    </i>
    <i>
      <x v="10"/>
    </i>
    <i>
      <x v="11"/>
    </i>
    <i>
      <x v="12"/>
    </i>
    <i t="grand">
      <x/>
    </i>
  </rowItems>
  <colFields count="1">
    <field x="4"/>
  </colFields>
  <colItems count="5">
    <i>
      <x/>
    </i>
    <i>
      <x v="1"/>
    </i>
    <i>
      <x v="2"/>
    </i>
    <i>
      <x v="3"/>
    </i>
    <i t="grand">
      <x/>
    </i>
  </colItems>
  <dataFields count="1">
    <dataField name="Sum of Fatalities" fld="5" baseField="0" baseItem="0" numFmtId="1"/>
  </dataFields>
  <chartFormats count="5">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4" count="1" selected="0">
            <x v="1"/>
          </reference>
        </references>
      </pivotArea>
    </chartFormat>
    <chartFormat chart="0" format="2" series="1">
      <pivotArea type="data" outline="0" fieldPosition="0">
        <references count="2">
          <reference field="4294967294" count="1" selected="0">
            <x v="0"/>
          </reference>
          <reference field="4" count="1" selected="0">
            <x v="2"/>
          </reference>
        </references>
      </pivotArea>
    </chartFormat>
    <chartFormat chart="0" format="3" series="1">
      <pivotArea type="data" outline="0" fieldPosition="0">
        <references count="2">
          <reference field="4294967294" count="1" selected="0">
            <x v="0"/>
          </reference>
          <reference field="4" count="1" selected="0">
            <x v="3"/>
          </reference>
        </references>
      </pivotArea>
    </chartFormat>
    <chartFormat chart="0" format="4" series="1">
      <pivotArea type="data" outline="0" fieldPosition="0">
        <references count="2">
          <reference field="4294967294" count="1" selected="0">
            <x v="0"/>
          </reference>
          <reference field="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18A8FFB7-C2AD-4F0E-85E1-2F1ED582FA6D}" sourceName="State">
  <pivotTables>
    <pivotTable tabId="6" name="PivotTable1"/>
  </pivotTables>
  <data>
    <tabular pivotCacheId="589475257">
      <items count="13">
        <i x="12"/>
        <i x="0" s="1"/>
        <i x="11"/>
        <i x="10"/>
        <i x="6"/>
        <i x="1"/>
        <i x="7"/>
        <i x="5"/>
        <i x="4"/>
        <i x="3"/>
        <i x="8"/>
        <i x="2"/>
        <i x="9"/>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cident_Type" xr10:uid="{A180134C-F932-459B-9998-6B4E89F2138C}" sourceName="Incident_Type">
  <pivotTables>
    <pivotTable tabId="8" name="PivotTable1"/>
  </pivotTables>
  <data>
    <tabular pivotCacheId="589475257">
      <items count="4">
        <i x="3" s="1"/>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E176E7FA-2C89-4189-BE5C-ACC519A97CB1}" cache="Slicer_State" caption="State" columnCount="2" style="Slicer Style 2"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ncident_Type" xr10:uid="{0062C172-AFD6-480B-A857-837043B952F6}" cache="Slicer_Incident_Type" caption="Incident_Type" style="Slicer Style 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2034182-FA71-446A-A14F-A6A0CF6DF4FD}" name="Table1" displayName="Table1" ref="A1:F19" totalsRowCount="1" headerRowDxfId="52">
  <autoFilter ref="A1:F18" xr:uid="{72034182-FA71-446A-A14F-A6A0CF6DF4FD}">
    <filterColumn colId="0" hiddenButton="1"/>
    <filterColumn colId="1" hiddenButton="1"/>
    <filterColumn colId="2" hiddenButton="1"/>
    <filterColumn colId="3" hiddenButton="1"/>
    <filterColumn colId="4" hiddenButton="1"/>
    <filterColumn colId="5" hiddenButton="1"/>
  </autoFilter>
  <tableColumns count="6">
    <tableColumn id="1" xr3:uid="{4204EC23-B24B-4FFA-B92C-3E6C183F5EA7}" name="Incident_ID"/>
    <tableColumn id="2" xr3:uid="{03F1216C-B0E0-434F-B2B0-3EB4BCC138F3}" name="Date" dataDxfId="51" totalsRowDxfId="50"/>
    <tableColumn id="3" xr3:uid="{AE8FD683-3CD1-4CE2-A185-7A572517E36D}" name="City"/>
    <tableColumn id="4" xr3:uid="{B816D085-4562-4505-B915-E8734C8795FB}" name="State"/>
    <tableColumn id="5" xr3:uid="{D7D4DAF5-0755-420A-8855-AEFEF082F936}" name="Incident_Type"/>
    <tableColumn id="6" xr3:uid="{F08D3A73-29CB-454F-9231-44629438117E}" name="Fatalities" totalsRowFunction="sum" dataDxfId="49" totalsRowDxfId="48"/>
  </tableColumns>
  <tableStyleInfo name="TableStyleMedium2"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2F79C6-3118-46E4-8694-4C5C02F89D7D}">
  <dimension ref="A1:F19"/>
  <sheetViews>
    <sheetView zoomScale="85" workbookViewId="0">
      <selection activeCell="C2" sqref="C2"/>
    </sheetView>
  </sheetViews>
  <sheetFormatPr defaultRowHeight="14.5" x14ac:dyDescent="0.35"/>
  <cols>
    <col min="1" max="1" width="13.08984375" customWidth="1"/>
    <col min="2" max="2" width="16.90625" customWidth="1"/>
    <col min="3" max="3" width="18.81640625" bestFit="1" customWidth="1"/>
    <col min="4" max="4" width="18.81640625" customWidth="1"/>
    <col min="5" max="5" width="15.36328125" bestFit="1" customWidth="1"/>
    <col min="6" max="6" width="10.81640625" bestFit="1" customWidth="1"/>
  </cols>
  <sheetData>
    <row r="1" spans="1:6" x14ac:dyDescent="0.35">
      <c r="A1" t="s">
        <v>0</v>
      </c>
      <c r="B1" t="s">
        <v>1</v>
      </c>
      <c r="C1" t="s">
        <v>112</v>
      </c>
      <c r="D1" t="s">
        <v>49</v>
      </c>
      <c r="E1" t="s">
        <v>113</v>
      </c>
      <c r="F1" t="s">
        <v>3</v>
      </c>
    </row>
    <row r="2" spans="1:6" x14ac:dyDescent="0.35">
      <c r="A2" t="s">
        <v>4</v>
      </c>
      <c r="B2" t="s">
        <v>5</v>
      </c>
      <c r="C2" t="s">
        <v>35</v>
      </c>
      <c r="D2" t="s">
        <v>99</v>
      </c>
      <c r="E2" t="s">
        <v>78</v>
      </c>
      <c r="F2">
        <v>5</v>
      </c>
    </row>
    <row r="3" spans="1:6" x14ac:dyDescent="0.35">
      <c r="A3" t="s">
        <v>6</v>
      </c>
      <c r="B3" s="6">
        <v>45791</v>
      </c>
      <c r="C3" t="s">
        <v>36</v>
      </c>
      <c r="D3" t="s">
        <v>100</v>
      </c>
      <c r="E3" t="s">
        <v>79</v>
      </c>
      <c r="F3" t="s">
        <v>80</v>
      </c>
    </row>
    <row r="4" spans="1:6" x14ac:dyDescent="0.35">
      <c r="A4" t="s">
        <v>7</v>
      </c>
      <c r="B4" t="s">
        <v>8</v>
      </c>
      <c r="C4" t="s">
        <v>37</v>
      </c>
      <c r="D4" t="s">
        <v>100</v>
      </c>
      <c r="E4" t="s">
        <v>81</v>
      </c>
      <c r="F4" t="s">
        <v>82</v>
      </c>
    </row>
    <row r="5" spans="1:6" x14ac:dyDescent="0.35">
      <c r="A5" t="s">
        <v>9</v>
      </c>
      <c r="B5" t="s">
        <v>83</v>
      </c>
      <c r="C5" t="s">
        <v>38</v>
      </c>
      <c r="D5" t="s">
        <v>101</v>
      </c>
      <c r="E5" t="s">
        <v>84</v>
      </c>
      <c r="F5">
        <v>1</v>
      </c>
    </row>
    <row r="6" spans="1:6" x14ac:dyDescent="0.35">
      <c r="A6" t="s">
        <v>10</v>
      </c>
      <c r="B6" s="6">
        <v>45870</v>
      </c>
      <c r="C6" t="s">
        <v>39</v>
      </c>
      <c r="D6" t="s">
        <v>99</v>
      </c>
      <c r="E6" t="s">
        <v>85</v>
      </c>
      <c r="F6" t="s">
        <v>86</v>
      </c>
    </row>
    <row r="7" spans="1:6" x14ac:dyDescent="0.35">
      <c r="A7" t="s">
        <v>11</v>
      </c>
      <c r="B7" s="6">
        <v>45912</v>
      </c>
      <c r="C7" t="s">
        <v>40</v>
      </c>
      <c r="D7" t="s">
        <v>101</v>
      </c>
      <c r="E7" t="s">
        <v>12</v>
      </c>
      <c r="F7" t="s">
        <v>87</v>
      </c>
    </row>
    <row r="8" spans="1:6" x14ac:dyDescent="0.35">
      <c r="A8" t="s">
        <v>13</v>
      </c>
      <c r="B8" s="6">
        <v>45940</v>
      </c>
      <c r="C8" t="s">
        <v>41</v>
      </c>
      <c r="D8" t="s">
        <v>102</v>
      </c>
      <c r="E8" t="s">
        <v>14</v>
      </c>
      <c r="F8">
        <v>0</v>
      </c>
    </row>
    <row r="9" spans="1:6" x14ac:dyDescent="0.35">
      <c r="A9" t="s">
        <v>15</v>
      </c>
      <c r="B9" s="6">
        <v>45972</v>
      </c>
      <c r="C9" t="s">
        <v>42</v>
      </c>
      <c r="D9" t="s">
        <v>103</v>
      </c>
      <c r="E9" t="s">
        <v>16</v>
      </c>
      <c r="F9" t="s">
        <v>88</v>
      </c>
    </row>
    <row r="10" spans="1:6" x14ac:dyDescent="0.35">
      <c r="A10" t="s">
        <v>17</v>
      </c>
      <c r="B10" t="s">
        <v>18</v>
      </c>
      <c r="C10" t="s">
        <v>43</v>
      </c>
      <c r="D10" t="s">
        <v>104</v>
      </c>
      <c r="E10" t="s">
        <v>89</v>
      </c>
      <c r="F10">
        <v>3</v>
      </c>
    </row>
    <row r="11" spans="1:6" x14ac:dyDescent="0.35">
      <c r="A11" t="s">
        <v>19</v>
      </c>
      <c r="B11" s="6">
        <v>45716</v>
      </c>
      <c r="C11" t="s">
        <v>44</v>
      </c>
      <c r="D11" t="s">
        <v>105</v>
      </c>
      <c r="E11" t="s">
        <v>90</v>
      </c>
      <c r="F11" t="s">
        <v>91</v>
      </c>
    </row>
    <row r="12" spans="1:6" x14ac:dyDescent="0.35">
      <c r="A12" t="s">
        <v>20</v>
      </c>
      <c r="B12" t="s">
        <v>21</v>
      </c>
      <c r="C12" t="s">
        <v>45</v>
      </c>
      <c r="D12" t="s">
        <v>106</v>
      </c>
      <c r="E12" t="s">
        <v>92</v>
      </c>
      <c r="F12">
        <v>0</v>
      </c>
    </row>
    <row r="13" spans="1:6" x14ac:dyDescent="0.35">
      <c r="A13" t="s">
        <v>22</v>
      </c>
      <c r="B13" s="6">
        <v>45751</v>
      </c>
      <c r="C13" t="s">
        <v>46</v>
      </c>
      <c r="D13" t="s">
        <v>107</v>
      </c>
      <c r="E13" t="s">
        <v>23</v>
      </c>
      <c r="F13">
        <v>1</v>
      </c>
    </row>
    <row r="14" spans="1:6" x14ac:dyDescent="0.35">
      <c r="A14" t="s">
        <v>24</v>
      </c>
      <c r="B14" t="s">
        <v>25</v>
      </c>
      <c r="C14" t="s">
        <v>47</v>
      </c>
      <c r="D14" t="s">
        <v>108</v>
      </c>
      <c r="E14" t="s">
        <v>93</v>
      </c>
      <c r="F14" t="s">
        <v>94</v>
      </c>
    </row>
    <row r="15" spans="1:6" x14ac:dyDescent="0.35">
      <c r="A15" t="s">
        <v>26</v>
      </c>
      <c r="B15" s="6">
        <v>46016</v>
      </c>
      <c r="C15" t="s">
        <v>36</v>
      </c>
      <c r="D15" t="s">
        <v>109</v>
      </c>
      <c r="E15" t="s">
        <v>81</v>
      </c>
      <c r="F15">
        <v>2</v>
      </c>
    </row>
    <row r="16" spans="1:6" x14ac:dyDescent="0.35">
      <c r="A16" t="s">
        <v>27</v>
      </c>
      <c r="B16" t="s">
        <v>28</v>
      </c>
      <c r="C16" t="s">
        <v>37</v>
      </c>
      <c r="D16" t="s">
        <v>101</v>
      </c>
      <c r="E16" t="s">
        <v>14</v>
      </c>
      <c r="F16">
        <v>0</v>
      </c>
    </row>
    <row r="17" spans="1:6" x14ac:dyDescent="0.35">
      <c r="A17" t="s">
        <v>29</v>
      </c>
      <c r="B17" t="s">
        <v>95</v>
      </c>
      <c r="C17" t="s">
        <v>39</v>
      </c>
      <c r="D17" t="s">
        <v>110</v>
      </c>
      <c r="E17" t="s">
        <v>96</v>
      </c>
      <c r="F17">
        <v>5</v>
      </c>
    </row>
    <row r="18" spans="1:6" x14ac:dyDescent="0.35">
      <c r="A18" t="s">
        <v>30</v>
      </c>
      <c r="B18" s="6">
        <v>45719</v>
      </c>
      <c r="C18" t="s">
        <v>35</v>
      </c>
      <c r="D18" t="s">
        <v>111</v>
      </c>
      <c r="E18" t="s">
        <v>97</v>
      </c>
      <c r="F18">
        <v>12</v>
      </c>
    </row>
    <row r="19" spans="1:6" x14ac:dyDescent="0.35">
      <c r="A19" t="s">
        <v>31</v>
      </c>
      <c r="B19" t="s">
        <v>32</v>
      </c>
      <c r="C19" t="s">
        <v>40</v>
      </c>
      <c r="D19" t="s">
        <v>100</v>
      </c>
      <c r="E19" t="s">
        <v>98</v>
      </c>
      <c r="F19">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94F7FF-E4EC-494A-ABC1-B1C2DDCB2156}">
  <dimension ref="A1:F23"/>
  <sheetViews>
    <sheetView zoomScale="78" zoomScaleNormal="78" workbookViewId="0">
      <selection activeCell="D1" sqref="D1:F18"/>
    </sheetView>
  </sheetViews>
  <sheetFormatPr defaultRowHeight="14.5" x14ac:dyDescent="0.35"/>
  <cols>
    <col min="1" max="1" width="15.26953125" customWidth="1"/>
    <col min="2" max="2" width="31.36328125" style="1" customWidth="1"/>
    <col min="3" max="3" width="12.54296875" bestFit="1" customWidth="1"/>
    <col min="4" max="4" width="8.54296875" customWidth="1"/>
    <col min="5" max="5" width="18.08984375" customWidth="1"/>
    <col min="6" max="6" width="12.54296875" style="2" customWidth="1"/>
  </cols>
  <sheetData>
    <row r="1" spans="1:6" s="3" customFormat="1" ht="18.5" x14ac:dyDescent="0.45">
      <c r="A1" s="3" t="s">
        <v>0</v>
      </c>
      <c r="B1" s="4" t="s">
        <v>1</v>
      </c>
      <c r="C1" s="3" t="s">
        <v>48</v>
      </c>
      <c r="D1" s="3" t="s">
        <v>49</v>
      </c>
      <c r="E1" s="3" t="s">
        <v>2</v>
      </c>
      <c r="F1" s="5" t="s">
        <v>3</v>
      </c>
    </row>
    <row r="2" spans="1:6" x14ac:dyDescent="0.35">
      <c r="A2" t="s">
        <v>4</v>
      </c>
      <c r="B2" s="7" t="s">
        <v>5</v>
      </c>
      <c r="C2" t="s">
        <v>35</v>
      </c>
      <c r="D2" t="s">
        <v>63</v>
      </c>
      <c r="E2" t="s">
        <v>16</v>
      </c>
      <c r="F2" s="2">
        <v>5</v>
      </c>
    </row>
    <row r="3" spans="1:6" x14ac:dyDescent="0.35">
      <c r="A3" t="s">
        <v>6</v>
      </c>
      <c r="B3" s="7">
        <v>45791</v>
      </c>
      <c r="C3" t="s">
        <v>36</v>
      </c>
      <c r="D3" t="s">
        <v>51</v>
      </c>
      <c r="E3" t="s">
        <v>16</v>
      </c>
      <c r="F3" s="2">
        <v>2</v>
      </c>
    </row>
    <row r="4" spans="1:6" x14ac:dyDescent="0.35">
      <c r="A4" t="s">
        <v>7</v>
      </c>
      <c r="B4" s="7" t="s">
        <v>8</v>
      </c>
      <c r="C4" t="s">
        <v>37</v>
      </c>
      <c r="D4" t="s">
        <v>54</v>
      </c>
      <c r="E4" t="s">
        <v>14</v>
      </c>
      <c r="F4" s="2">
        <v>0</v>
      </c>
    </row>
    <row r="5" spans="1:6" x14ac:dyDescent="0.35">
      <c r="A5" t="s">
        <v>10</v>
      </c>
      <c r="B5" s="7" t="s">
        <v>33</v>
      </c>
      <c r="C5" t="s">
        <v>38</v>
      </c>
      <c r="D5" t="s">
        <v>57</v>
      </c>
      <c r="E5" t="s">
        <v>14</v>
      </c>
      <c r="F5" s="2">
        <v>1</v>
      </c>
    </row>
    <row r="6" spans="1:6" x14ac:dyDescent="0.35">
      <c r="A6" t="s">
        <v>11</v>
      </c>
      <c r="B6" s="7">
        <v>45870</v>
      </c>
      <c r="C6" t="s">
        <v>39</v>
      </c>
      <c r="D6" t="s">
        <v>52</v>
      </c>
      <c r="E6" t="s">
        <v>23</v>
      </c>
      <c r="F6" s="2">
        <v>0</v>
      </c>
    </row>
    <row r="7" spans="1:6" x14ac:dyDescent="0.35">
      <c r="A7" t="s">
        <v>13</v>
      </c>
      <c r="B7" s="7">
        <v>45912</v>
      </c>
      <c r="C7" t="s">
        <v>40</v>
      </c>
      <c r="D7" t="s">
        <v>55</v>
      </c>
      <c r="E7" t="s">
        <v>12</v>
      </c>
      <c r="F7" s="2">
        <v>15</v>
      </c>
    </row>
    <row r="8" spans="1:6" x14ac:dyDescent="0.35">
      <c r="A8" t="s">
        <v>15</v>
      </c>
      <c r="B8" s="7">
        <v>45940</v>
      </c>
      <c r="C8" t="s">
        <v>41</v>
      </c>
      <c r="D8" t="s">
        <v>73</v>
      </c>
      <c r="E8" t="s">
        <v>14</v>
      </c>
      <c r="F8" s="2">
        <v>0</v>
      </c>
    </row>
    <row r="9" spans="1:6" x14ac:dyDescent="0.35">
      <c r="A9" t="s">
        <v>19</v>
      </c>
      <c r="B9" s="7">
        <v>45972</v>
      </c>
      <c r="C9" t="s">
        <v>42</v>
      </c>
      <c r="D9" t="s">
        <v>72</v>
      </c>
      <c r="E9" t="s">
        <v>16</v>
      </c>
      <c r="F9" s="2">
        <v>0</v>
      </c>
    </row>
    <row r="10" spans="1:6" x14ac:dyDescent="0.35">
      <c r="A10" t="s">
        <v>20</v>
      </c>
      <c r="B10" s="7" t="s">
        <v>18</v>
      </c>
      <c r="C10" t="s">
        <v>43</v>
      </c>
      <c r="D10" t="s">
        <v>71</v>
      </c>
      <c r="E10" t="s">
        <v>14</v>
      </c>
      <c r="F10" s="2">
        <v>3</v>
      </c>
    </row>
    <row r="11" spans="1:6" x14ac:dyDescent="0.35">
      <c r="A11" t="s">
        <v>22</v>
      </c>
      <c r="B11" s="7">
        <v>45716</v>
      </c>
      <c r="C11" t="s">
        <v>44</v>
      </c>
      <c r="D11" t="s">
        <v>69</v>
      </c>
      <c r="E11" t="s">
        <v>12</v>
      </c>
      <c r="F11" s="2">
        <v>0</v>
      </c>
    </row>
    <row r="12" spans="1:6" x14ac:dyDescent="0.35">
      <c r="A12" t="s">
        <v>24</v>
      </c>
      <c r="B12" s="7" t="s">
        <v>21</v>
      </c>
      <c r="C12" t="s">
        <v>45</v>
      </c>
      <c r="D12" t="s">
        <v>68</v>
      </c>
      <c r="E12" t="s">
        <v>14</v>
      </c>
      <c r="F12" s="2">
        <v>0</v>
      </c>
    </row>
    <row r="13" spans="1:6" x14ac:dyDescent="0.35">
      <c r="A13" t="s">
        <v>26</v>
      </c>
      <c r="B13" s="7">
        <v>45751</v>
      </c>
      <c r="C13" t="s">
        <v>46</v>
      </c>
      <c r="D13" t="s">
        <v>65</v>
      </c>
      <c r="E13" t="s">
        <v>23</v>
      </c>
      <c r="F13" s="2">
        <v>1</v>
      </c>
    </row>
    <row r="14" spans="1:6" x14ac:dyDescent="0.35">
      <c r="A14" t="s">
        <v>27</v>
      </c>
      <c r="B14" s="7" t="s">
        <v>25</v>
      </c>
      <c r="C14" t="s">
        <v>47</v>
      </c>
      <c r="D14" t="s">
        <v>64</v>
      </c>
      <c r="E14" t="s">
        <v>16</v>
      </c>
      <c r="F14" s="2">
        <v>0</v>
      </c>
    </row>
    <row r="15" spans="1:6" x14ac:dyDescent="0.35">
      <c r="A15" t="s">
        <v>29</v>
      </c>
      <c r="B15" s="7">
        <v>46016</v>
      </c>
      <c r="C15" t="s">
        <v>36</v>
      </c>
      <c r="D15" t="s">
        <v>51</v>
      </c>
      <c r="E15" t="s">
        <v>14</v>
      </c>
      <c r="F15" s="2">
        <v>2</v>
      </c>
    </row>
    <row r="16" spans="1:6" x14ac:dyDescent="0.35">
      <c r="A16" t="s">
        <v>31</v>
      </c>
      <c r="B16" s="7" t="s">
        <v>34</v>
      </c>
      <c r="C16" t="s">
        <v>39</v>
      </c>
      <c r="D16" t="s">
        <v>52</v>
      </c>
      <c r="E16" t="s">
        <v>23</v>
      </c>
      <c r="F16" s="2">
        <v>5</v>
      </c>
    </row>
    <row r="17" spans="1:6" x14ac:dyDescent="0.35">
      <c r="A17" t="s">
        <v>58</v>
      </c>
      <c r="B17" s="7">
        <v>45719</v>
      </c>
      <c r="C17" t="s">
        <v>35</v>
      </c>
      <c r="D17" t="s">
        <v>63</v>
      </c>
      <c r="E17" t="s">
        <v>12</v>
      </c>
      <c r="F17" s="2">
        <v>12</v>
      </c>
    </row>
    <row r="18" spans="1:6" x14ac:dyDescent="0.35">
      <c r="A18" t="s">
        <v>59</v>
      </c>
      <c r="B18" s="7" t="s">
        <v>32</v>
      </c>
      <c r="C18" t="s">
        <v>40</v>
      </c>
      <c r="D18" t="s">
        <v>55</v>
      </c>
      <c r="E18" t="s">
        <v>14</v>
      </c>
      <c r="F18" s="2">
        <v>1</v>
      </c>
    </row>
    <row r="19" spans="1:6" x14ac:dyDescent="0.35">
      <c r="F19" s="2">
        <f>SUBTOTAL(109,Table1[Fatalities])</f>
        <v>47</v>
      </c>
    </row>
    <row r="20" spans="1:6" x14ac:dyDescent="0.35">
      <c r="B20"/>
      <c r="F20"/>
    </row>
    <row r="21" spans="1:6" x14ac:dyDescent="0.35">
      <c r="B21"/>
      <c r="F21"/>
    </row>
    <row r="22" spans="1:6" x14ac:dyDescent="0.35">
      <c r="B22"/>
      <c r="F22"/>
    </row>
    <row r="23" spans="1:6" x14ac:dyDescent="0.35">
      <c r="B23"/>
      <c r="F23"/>
    </row>
  </sheetData>
  <phoneticPr fontId="1" type="noConversion"/>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B1D293-2EB1-44DE-B1F0-2C3A0786B18C}">
  <dimension ref="A1:L17"/>
  <sheetViews>
    <sheetView topLeftCell="A2" workbookViewId="0">
      <selection activeCell="B19" sqref="B19"/>
    </sheetView>
  </sheetViews>
  <sheetFormatPr defaultRowHeight="14.5" x14ac:dyDescent="0.35"/>
  <cols>
    <col min="1" max="1" width="12.36328125" bestFit="1" customWidth="1"/>
    <col min="2" max="2" width="14.7265625" bestFit="1" customWidth="1"/>
  </cols>
  <sheetData>
    <row r="1" spans="1:12" x14ac:dyDescent="0.35">
      <c r="A1" s="8"/>
      <c r="B1" s="8"/>
      <c r="C1" s="8"/>
      <c r="D1" s="8"/>
      <c r="E1" s="8"/>
      <c r="F1" s="8"/>
      <c r="G1" s="8"/>
      <c r="H1" s="8"/>
      <c r="I1" s="8"/>
      <c r="J1" s="8"/>
      <c r="K1" s="8"/>
      <c r="L1" s="8"/>
    </row>
    <row r="2" spans="1:12" x14ac:dyDescent="0.35">
      <c r="A2" s="9"/>
      <c r="B2" s="9"/>
      <c r="C2" s="9"/>
      <c r="D2" s="9"/>
      <c r="E2" s="9"/>
      <c r="F2" s="9"/>
      <c r="G2" s="9"/>
      <c r="H2" s="9"/>
      <c r="I2" s="9"/>
      <c r="J2" s="9"/>
      <c r="K2" s="9"/>
      <c r="L2" s="9"/>
    </row>
    <row r="3" spans="1:12" x14ac:dyDescent="0.35">
      <c r="A3" s="9" t="s">
        <v>74</v>
      </c>
      <c r="B3" s="9" t="s">
        <v>76</v>
      </c>
      <c r="C3" s="9"/>
      <c r="D3" s="9"/>
      <c r="E3" s="9"/>
      <c r="F3" s="9"/>
      <c r="G3" s="9"/>
      <c r="H3" s="9"/>
      <c r="I3" s="9"/>
      <c r="J3" s="9"/>
      <c r="K3" s="9"/>
      <c r="L3" s="9"/>
    </row>
    <row r="4" spans="1:12" x14ac:dyDescent="0.35">
      <c r="A4" s="10" t="s">
        <v>64</v>
      </c>
      <c r="B4" s="11">
        <v>0</v>
      </c>
      <c r="C4" s="9"/>
      <c r="D4" s="9"/>
      <c r="E4" s="9"/>
      <c r="F4" s="9"/>
      <c r="G4" s="9"/>
      <c r="H4" s="9"/>
      <c r="I4" s="9"/>
      <c r="J4" s="9"/>
      <c r="K4" s="9"/>
      <c r="L4" s="9"/>
    </row>
    <row r="5" spans="1:12" x14ac:dyDescent="0.35">
      <c r="A5" s="10" t="s">
        <v>63</v>
      </c>
      <c r="B5" s="11">
        <v>17</v>
      </c>
      <c r="C5" s="9"/>
      <c r="D5" s="9"/>
      <c r="E5" s="9"/>
      <c r="F5" s="9"/>
      <c r="G5" s="9"/>
      <c r="H5" s="9"/>
      <c r="I5" s="9"/>
      <c r="J5" s="9"/>
      <c r="K5" s="9"/>
      <c r="L5" s="9"/>
    </row>
    <row r="6" spans="1:12" x14ac:dyDescent="0.35">
      <c r="A6" s="10" t="s">
        <v>65</v>
      </c>
      <c r="B6" s="11">
        <v>1</v>
      </c>
      <c r="C6" s="9"/>
      <c r="D6" s="9"/>
      <c r="E6" s="9"/>
      <c r="F6" s="9"/>
      <c r="G6" s="9"/>
      <c r="H6" s="9"/>
      <c r="I6" s="9"/>
      <c r="J6" s="9"/>
      <c r="K6" s="9"/>
      <c r="L6" s="9"/>
    </row>
    <row r="7" spans="1:12" x14ac:dyDescent="0.35">
      <c r="A7" s="10" t="s">
        <v>68</v>
      </c>
      <c r="B7" s="11">
        <v>0</v>
      </c>
      <c r="C7" s="9"/>
      <c r="D7" s="9"/>
      <c r="E7" s="9"/>
      <c r="F7" s="9"/>
      <c r="G7" s="9"/>
      <c r="H7" s="9"/>
      <c r="I7" s="9"/>
      <c r="J7" s="9"/>
      <c r="K7" s="9"/>
      <c r="L7" s="9"/>
    </row>
    <row r="8" spans="1:12" x14ac:dyDescent="0.35">
      <c r="A8" s="10" t="s">
        <v>73</v>
      </c>
      <c r="B8" s="11">
        <v>0</v>
      </c>
      <c r="C8" s="9"/>
      <c r="D8" s="9"/>
      <c r="E8" s="9"/>
      <c r="F8" s="9"/>
      <c r="G8" s="9"/>
      <c r="H8" s="9"/>
      <c r="I8" s="9"/>
      <c r="J8" s="9"/>
      <c r="K8" s="9"/>
      <c r="L8" s="9"/>
    </row>
    <row r="9" spans="1:12" x14ac:dyDescent="0.35">
      <c r="A9" s="10" t="s">
        <v>51</v>
      </c>
      <c r="B9" s="11">
        <v>4</v>
      </c>
      <c r="C9" s="9"/>
      <c r="D9" s="9"/>
      <c r="E9" s="9"/>
      <c r="F9" s="9"/>
      <c r="G9" s="9"/>
      <c r="H9" s="9"/>
      <c r="I9" s="9"/>
      <c r="J9" s="9"/>
      <c r="K9" s="9"/>
      <c r="L9" s="9"/>
    </row>
    <row r="10" spans="1:12" x14ac:dyDescent="0.35">
      <c r="A10" s="10" t="s">
        <v>72</v>
      </c>
      <c r="B10" s="11">
        <v>0</v>
      </c>
      <c r="C10" s="9"/>
      <c r="D10" s="9"/>
      <c r="E10" s="9"/>
      <c r="F10" s="9"/>
      <c r="G10" s="9"/>
      <c r="H10" s="9"/>
      <c r="I10" s="9"/>
      <c r="J10" s="9"/>
      <c r="K10" s="9"/>
      <c r="L10" s="9"/>
    </row>
    <row r="11" spans="1:12" x14ac:dyDescent="0.35">
      <c r="A11" s="10" t="s">
        <v>55</v>
      </c>
      <c r="B11" s="11">
        <v>16</v>
      </c>
      <c r="C11" s="9"/>
      <c r="D11" s="9"/>
      <c r="E11" s="9"/>
      <c r="F11" s="9"/>
      <c r="G11" s="9"/>
      <c r="H11" s="9"/>
      <c r="I11" s="9"/>
      <c r="J11" s="9"/>
      <c r="K11" s="9"/>
      <c r="L11" s="9"/>
    </row>
    <row r="12" spans="1:12" x14ac:dyDescent="0.35">
      <c r="A12" s="10" t="s">
        <v>52</v>
      </c>
      <c r="B12" s="11">
        <v>5</v>
      </c>
      <c r="C12" s="9"/>
      <c r="D12" s="9"/>
      <c r="E12" s="9"/>
      <c r="F12" s="9"/>
      <c r="G12" s="9"/>
      <c r="H12" s="9"/>
      <c r="I12" s="9"/>
      <c r="J12" s="9"/>
      <c r="K12" s="9"/>
      <c r="L12" s="9"/>
    </row>
    <row r="13" spans="1:12" x14ac:dyDescent="0.35">
      <c r="A13" s="10" t="s">
        <v>57</v>
      </c>
      <c r="B13" s="11">
        <v>1</v>
      </c>
      <c r="C13" s="9"/>
      <c r="D13" s="9"/>
      <c r="E13" s="9"/>
      <c r="F13" s="9"/>
      <c r="G13" s="9"/>
      <c r="H13" s="9"/>
      <c r="I13" s="9"/>
      <c r="J13" s="9"/>
      <c r="K13" s="9"/>
      <c r="L13" s="9"/>
    </row>
    <row r="14" spans="1:12" x14ac:dyDescent="0.35">
      <c r="A14" s="10" t="s">
        <v>71</v>
      </c>
      <c r="B14" s="11">
        <v>3</v>
      </c>
      <c r="C14" s="9"/>
      <c r="D14" s="9"/>
      <c r="E14" s="9"/>
      <c r="F14" s="9"/>
      <c r="G14" s="9"/>
      <c r="H14" s="9"/>
      <c r="I14" s="9"/>
      <c r="J14" s="9"/>
      <c r="K14" s="9"/>
      <c r="L14" s="9"/>
    </row>
    <row r="15" spans="1:12" x14ac:dyDescent="0.35">
      <c r="A15" s="10" t="s">
        <v>54</v>
      </c>
      <c r="B15" s="11">
        <v>0</v>
      </c>
      <c r="C15" s="9"/>
      <c r="D15" s="9"/>
      <c r="E15" s="9"/>
      <c r="F15" s="9"/>
      <c r="G15" s="9"/>
      <c r="H15" s="9"/>
      <c r="I15" s="9"/>
      <c r="J15" s="9"/>
      <c r="K15" s="9"/>
      <c r="L15" s="9"/>
    </row>
    <row r="16" spans="1:12" x14ac:dyDescent="0.35">
      <c r="A16" s="10" t="s">
        <v>69</v>
      </c>
      <c r="B16" s="11">
        <v>0</v>
      </c>
      <c r="C16" s="9"/>
      <c r="D16" s="9"/>
      <c r="E16" s="9"/>
      <c r="F16" s="9"/>
      <c r="G16" s="9"/>
      <c r="H16" s="9"/>
      <c r="I16" s="9"/>
      <c r="J16" s="9"/>
      <c r="K16" s="9"/>
      <c r="L16" s="9"/>
    </row>
    <row r="17" spans="1:12" x14ac:dyDescent="0.35">
      <c r="A17" s="10" t="s">
        <v>75</v>
      </c>
      <c r="B17" s="11">
        <v>47</v>
      </c>
      <c r="C17" s="9"/>
      <c r="D17" s="9"/>
      <c r="E17" s="9"/>
      <c r="F17" s="9"/>
      <c r="G17" s="9"/>
      <c r="H17" s="9"/>
      <c r="I17" s="9"/>
      <c r="J17" s="9"/>
      <c r="K17" s="9"/>
      <c r="L17" s="9"/>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4B2317-05D1-4924-9380-96E9672B1460}">
  <dimension ref="A1:J19"/>
  <sheetViews>
    <sheetView topLeftCell="A2" workbookViewId="0">
      <selection activeCell="B15" sqref="B15"/>
    </sheetView>
  </sheetViews>
  <sheetFormatPr defaultRowHeight="14.5" x14ac:dyDescent="0.35"/>
  <cols>
    <col min="1" max="1" width="13.26953125" bestFit="1" customWidth="1"/>
    <col min="2" max="2" width="14.7265625" bestFit="1" customWidth="1"/>
    <col min="3" max="13" width="15.26953125" bestFit="1" customWidth="1"/>
    <col min="14" max="15" width="10.7265625" bestFit="1" customWidth="1"/>
    <col min="16" max="16" width="11.90625" bestFit="1" customWidth="1"/>
    <col min="17" max="18" width="13.36328125" bestFit="1" customWidth="1"/>
    <col min="19" max="19" width="9.81640625" bestFit="1" customWidth="1"/>
    <col min="20" max="20" width="10.26953125" bestFit="1" customWidth="1"/>
    <col min="21" max="21" width="10.1796875" bestFit="1" customWidth="1"/>
    <col min="22" max="22" width="6" bestFit="1" customWidth="1"/>
    <col min="23" max="23" width="8.90625" bestFit="1" customWidth="1"/>
    <col min="24" max="24" width="9" bestFit="1" customWidth="1"/>
    <col min="25" max="25" width="11.90625" bestFit="1" customWidth="1"/>
    <col min="26" max="26" width="7.6328125" bestFit="1" customWidth="1"/>
    <col min="27" max="27" width="10.54296875" bestFit="1" customWidth="1"/>
    <col min="28" max="28" width="13.36328125" bestFit="1" customWidth="1"/>
    <col min="29" max="29" width="11.453125" bestFit="1" customWidth="1"/>
    <col min="30" max="30" width="10.7265625" bestFit="1" customWidth="1"/>
  </cols>
  <sheetData>
    <row r="1" spans="1:10" x14ac:dyDescent="0.35">
      <c r="A1" s="9" t="s">
        <v>49</v>
      </c>
      <c r="B1" s="9" t="s">
        <v>63</v>
      </c>
    </row>
    <row r="2" spans="1:10" x14ac:dyDescent="0.35">
      <c r="A2" s="9"/>
      <c r="B2" s="9"/>
      <c r="C2" s="9"/>
      <c r="D2" s="9"/>
      <c r="E2" s="9"/>
      <c r="F2" s="9"/>
      <c r="G2" s="9"/>
      <c r="H2" s="9"/>
      <c r="I2" s="9"/>
      <c r="J2" s="9"/>
    </row>
    <row r="3" spans="1:10" x14ac:dyDescent="0.35">
      <c r="A3" s="9" t="s">
        <v>74</v>
      </c>
      <c r="B3" s="9" t="s">
        <v>76</v>
      </c>
      <c r="C3" s="9"/>
      <c r="D3" s="9"/>
      <c r="E3" s="9"/>
      <c r="F3" s="9"/>
      <c r="G3" s="9"/>
      <c r="H3" s="9"/>
      <c r="I3" s="9"/>
      <c r="J3" s="9"/>
    </row>
    <row r="4" spans="1:10" x14ac:dyDescent="0.35">
      <c r="A4" s="10" t="s">
        <v>12</v>
      </c>
      <c r="B4" s="11">
        <v>12</v>
      </c>
      <c r="C4" s="9"/>
      <c r="D4" s="9"/>
      <c r="E4" s="9"/>
      <c r="F4" s="9"/>
      <c r="G4" s="9"/>
      <c r="H4" s="9"/>
      <c r="I4" s="9"/>
      <c r="J4" s="9"/>
    </row>
    <row r="5" spans="1:10" x14ac:dyDescent="0.35">
      <c r="A5" s="10" t="s">
        <v>16</v>
      </c>
      <c r="B5" s="11">
        <v>5</v>
      </c>
      <c r="C5" s="9"/>
      <c r="D5" s="9"/>
      <c r="E5" s="9"/>
      <c r="F5" s="9"/>
      <c r="G5" s="9"/>
      <c r="H5" s="9"/>
      <c r="I5" s="9"/>
      <c r="J5" s="9"/>
    </row>
    <row r="6" spans="1:10" x14ac:dyDescent="0.35">
      <c r="A6" s="10" t="s">
        <v>75</v>
      </c>
      <c r="B6" s="11">
        <v>17</v>
      </c>
      <c r="C6" s="9"/>
      <c r="D6" s="9"/>
      <c r="E6" s="9"/>
      <c r="F6" s="9"/>
      <c r="G6" s="9"/>
      <c r="H6" s="9"/>
      <c r="I6" s="9"/>
      <c r="J6" s="9"/>
    </row>
    <row r="7" spans="1:10" x14ac:dyDescent="0.35">
      <c r="C7" s="9"/>
      <c r="D7" s="9"/>
      <c r="E7" s="9"/>
      <c r="F7" s="9"/>
      <c r="G7" s="9"/>
      <c r="H7" s="9"/>
      <c r="I7" s="9"/>
      <c r="J7" s="9"/>
    </row>
    <row r="8" spans="1:10" x14ac:dyDescent="0.35">
      <c r="C8" s="9"/>
      <c r="D8" s="9"/>
      <c r="E8" s="9"/>
      <c r="F8" s="9"/>
      <c r="G8" s="9"/>
      <c r="H8" s="9"/>
      <c r="I8" s="9"/>
      <c r="J8" s="9"/>
    </row>
    <row r="9" spans="1:10" x14ac:dyDescent="0.35">
      <c r="A9" s="9"/>
      <c r="B9" s="9"/>
      <c r="C9" s="9"/>
      <c r="D9" s="9"/>
      <c r="E9" s="9"/>
      <c r="F9" s="9"/>
      <c r="G9" s="9"/>
      <c r="H9" s="9"/>
      <c r="I9" s="9"/>
      <c r="J9" s="9"/>
    </row>
    <row r="10" spans="1:10" x14ac:dyDescent="0.35">
      <c r="A10" s="9"/>
      <c r="B10" s="9"/>
      <c r="C10" s="9"/>
      <c r="D10" s="9"/>
      <c r="E10" s="9"/>
      <c r="F10" s="9"/>
      <c r="G10" s="9"/>
      <c r="H10" s="9"/>
      <c r="I10" s="9"/>
      <c r="J10" s="9"/>
    </row>
    <row r="11" spans="1:10" x14ac:dyDescent="0.35">
      <c r="A11" s="9"/>
      <c r="B11" s="9"/>
      <c r="C11" s="9"/>
      <c r="D11" s="9"/>
      <c r="E11" s="9"/>
      <c r="F11" s="9"/>
      <c r="G11" s="9"/>
      <c r="H11" s="9"/>
      <c r="I11" s="9"/>
      <c r="J11" s="9"/>
    </row>
    <row r="12" spans="1:10" x14ac:dyDescent="0.35">
      <c r="A12" s="9"/>
      <c r="B12" s="9"/>
      <c r="C12" s="9"/>
      <c r="D12" s="9"/>
      <c r="E12" s="9"/>
      <c r="F12" s="9"/>
      <c r="G12" s="9"/>
      <c r="H12" s="9"/>
      <c r="I12" s="9"/>
      <c r="J12" s="9"/>
    </row>
    <row r="13" spans="1:10" x14ac:dyDescent="0.35">
      <c r="A13" s="9"/>
      <c r="B13" s="9"/>
      <c r="C13" s="9"/>
      <c r="D13" s="9"/>
      <c r="E13" s="9"/>
      <c r="F13" s="9"/>
      <c r="G13" s="9"/>
      <c r="H13" s="9"/>
      <c r="I13" s="9"/>
      <c r="J13" s="9"/>
    </row>
    <row r="14" spans="1:10" x14ac:dyDescent="0.35">
      <c r="A14" s="9"/>
      <c r="B14" s="9"/>
      <c r="C14" s="9"/>
      <c r="D14" s="9"/>
      <c r="E14" s="9"/>
      <c r="F14" s="9"/>
      <c r="G14" s="9"/>
      <c r="H14" s="9"/>
      <c r="I14" s="9"/>
      <c r="J14" s="9"/>
    </row>
    <row r="15" spans="1:10" x14ac:dyDescent="0.35">
      <c r="A15" s="9"/>
      <c r="B15" s="9"/>
      <c r="C15" s="9"/>
      <c r="D15" s="9"/>
      <c r="E15" s="9"/>
      <c r="F15" s="9"/>
      <c r="G15" s="9"/>
      <c r="H15" s="9"/>
      <c r="I15" s="9"/>
      <c r="J15" s="9"/>
    </row>
    <row r="16" spans="1:10" x14ac:dyDescent="0.35">
      <c r="A16" s="9"/>
      <c r="B16" s="9"/>
      <c r="C16" s="9"/>
      <c r="D16" s="9"/>
      <c r="E16" s="9"/>
      <c r="F16" s="9"/>
      <c r="G16" s="9"/>
      <c r="H16" s="9"/>
      <c r="I16" s="9"/>
      <c r="J16" s="9"/>
    </row>
    <row r="17" spans="1:10" x14ac:dyDescent="0.35">
      <c r="A17" s="9"/>
      <c r="B17" s="9"/>
      <c r="C17" s="9"/>
      <c r="D17" s="9"/>
      <c r="E17" s="9"/>
      <c r="F17" s="9"/>
      <c r="G17" s="9"/>
      <c r="H17" s="9"/>
      <c r="I17" s="9"/>
      <c r="J17" s="9"/>
    </row>
    <row r="18" spans="1:10" x14ac:dyDescent="0.35">
      <c r="A18" s="9"/>
      <c r="B18" s="9"/>
      <c r="C18" s="9"/>
      <c r="D18" s="9"/>
      <c r="E18" s="9"/>
      <c r="F18" s="9"/>
      <c r="G18" s="9"/>
      <c r="H18" s="9"/>
      <c r="I18" s="9"/>
      <c r="J18" s="9"/>
    </row>
    <row r="19" spans="1:10" x14ac:dyDescent="0.35">
      <c r="A19" s="9"/>
      <c r="B19" s="9"/>
      <c r="C19" s="9"/>
      <c r="D19" s="9"/>
      <c r="E19" s="9"/>
      <c r="F19" s="9"/>
      <c r="G19" s="9"/>
      <c r="H19" s="9"/>
      <c r="I19" s="9"/>
      <c r="J19" s="9"/>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801796-D92B-4853-B0ED-0CE8AAF79568}">
  <dimension ref="A1:U18"/>
  <sheetViews>
    <sheetView tabSelected="1" topLeftCell="F1" workbookViewId="0">
      <selection activeCell="J20" sqref="J20"/>
    </sheetView>
  </sheetViews>
  <sheetFormatPr defaultRowHeight="14.5" x14ac:dyDescent="0.35"/>
  <cols>
    <col min="1" max="1" width="14.7265625" bestFit="1" customWidth="1"/>
    <col min="2" max="2" width="15.26953125" bestFit="1" customWidth="1"/>
    <col min="3" max="3" width="10.26953125" bestFit="1" customWidth="1"/>
    <col min="4" max="4" width="10.1796875" bestFit="1" customWidth="1"/>
    <col min="5" max="5" width="5.26953125" bestFit="1" customWidth="1"/>
    <col min="6" max="6" width="10.7265625" bestFit="1" customWidth="1"/>
  </cols>
  <sheetData>
    <row r="1" spans="1:21" x14ac:dyDescent="0.35">
      <c r="H1" s="14"/>
      <c r="I1" s="14"/>
      <c r="J1" s="14"/>
      <c r="K1" s="14"/>
      <c r="L1" s="14"/>
      <c r="M1" s="14"/>
      <c r="N1" s="14"/>
      <c r="O1" s="14"/>
      <c r="P1" s="14"/>
      <c r="Q1" s="14"/>
      <c r="R1" s="14"/>
      <c r="S1" s="14"/>
      <c r="T1" s="14"/>
      <c r="U1" s="14"/>
    </row>
    <row r="2" spans="1:21" x14ac:dyDescent="0.35">
      <c r="H2" s="14"/>
      <c r="I2" s="14"/>
      <c r="J2" s="14"/>
      <c r="K2" s="14"/>
      <c r="L2" s="14"/>
      <c r="M2" s="14"/>
      <c r="N2" s="14"/>
      <c r="O2" s="14"/>
      <c r="P2" s="14"/>
      <c r="Q2" s="14"/>
      <c r="R2" s="14"/>
      <c r="S2" s="14"/>
      <c r="T2" s="14"/>
      <c r="U2" s="14"/>
    </row>
    <row r="3" spans="1:21" x14ac:dyDescent="0.35">
      <c r="A3" s="12" t="s">
        <v>76</v>
      </c>
      <c r="B3" s="12" t="s">
        <v>114</v>
      </c>
      <c r="H3" s="14"/>
      <c r="I3" s="14"/>
      <c r="J3" s="14"/>
      <c r="K3" s="14"/>
      <c r="L3" s="14"/>
      <c r="M3" s="14"/>
      <c r="N3" s="14"/>
      <c r="O3" s="14"/>
      <c r="P3" s="14"/>
      <c r="Q3" s="14"/>
      <c r="R3" s="14"/>
      <c r="S3" s="14"/>
      <c r="T3" s="14"/>
      <c r="U3" s="14"/>
    </row>
    <row r="4" spans="1:21" x14ac:dyDescent="0.35">
      <c r="A4" s="12" t="s">
        <v>74</v>
      </c>
      <c r="B4" t="s">
        <v>12</v>
      </c>
      <c r="C4" t="s">
        <v>23</v>
      </c>
      <c r="D4" t="s">
        <v>16</v>
      </c>
      <c r="E4" t="s">
        <v>14</v>
      </c>
      <c r="F4" t="s">
        <v>75</v>
      </c>
      <c r="H4" s="14"/>
      <c r="I4" s="14"/>
      <c r="J4" s="14"/>
      <c r="K4" s="14"/>
      <c r="L4" s="14"/>
      <c r="M4" s="14"/>
      <c r="N4" s="14"/>
      <c r="O4" s="14"/>
      <c r="P4" s="14"/>
      <c r="Q4" s="14"/>
      <c r="R4" s="14"/>
      <c r="S4" s="14"/>
      <c r="T4" s="14"/>
      <c r="U4" s="14"/>
    </row>
    <row r="5" spans="1:21" x14ac:dyDescent="0.35">
      <c r="A5" s="13" t="s">
        <v>64</v>
      </c>
      <c r="B5" s="2"/>
      <c r="C5" s="2"/>
      <c r="D5" s="2">
        <v>0</v>
      </c>
      <c r="E5" s="2"/>
      <c r="F5" s="2">
        <v>0</v>
      </c>
      <c r="H5" s="14"/>
      <c r="I5" s="14"/>
      <c r="J5" s="14"/>
      <c r="K5" s="14"/>
      <c r="L5" s="14"/>
      <c r="M5" s="14"/>
      <c r="N5" s="14"/>
      <c r="O5" s="14"/>
      <c r="P5" s="14"/>
      <c r="Q5" s="14"/>
      <c r="R5" s="14"/>
      <c r="S5" s="14"/>
      <c r="T5" s="14"/>
      <c r="U5" s="14"/>
    </row>
    <row r="6" spans="1:21" x14ac:dyDescent="0.35">
      <c r="A6" s="13" t="s">
        <v>63</v>
      </c>
      <c r="B6" s="2">
        <v>12</v>
      </c>
      <c r="C6" s="2"/>
      <c r="D6" s="2">
        <v>5</v>
      </c>
      <c r="E6" s="2"/>
      <c r="F6" s="2">
        <v>17</v>
      </c>
      <c r="H6" s="14"/>
      <c r="I6" s="14"/>
      <c r="J6" s="14"/>
      <c r="K6" s="14"/>
      <c r="L6" s="14"/>
      <c r="M6" s="14"/>
      <c r="N6" s="14"/>
      <c r="O6" s="14"/>
      <c r="P6" s="14"/>
      <c r="Q6" s="14"/>
      <c r="R6" s="14"/>
      <c r="S6" s="14"/>
      <c r="T6" s="14"/>
      <c r="U6" s="14"/>
    </row>
    <row r="7" spans="1:21" x14ac:dyDescent="0.35">
      <c r="A7" s="13" t="s">
        <v>65</v>
      </c>
      <c r="B7" s="2"/>
      <c r="C7" s="2">
        <v>1</v>
      </c>
      <c r="D7" s="2"/>
      <c r="E7" s="2"/>
      <c r="F7" s="2">
        <v>1</v>
      </c>
      <c r="H7" s="14"/>
      <c r="I7" s="14"/>
      <c r="J7" s="14"/>
      <c r="K7" s="14"/>
      <c r="L7" s="14"/>
      <c r="M7" s="14"/>
      <c r="N7" s="14"/>
      <c r="O7" s="14"/>
      <c r="P7" s="14"/>
      <c r="Q7" s="14"/>
      <c r="R7" s="14"/>
      <c r="S7" s="14"/>
      <c r="T7" s="14"/>
      <c r="U7" s="14"/>
    </row>
    <row r="8" spans="1:21" x14ac:dyDescent="0.35">
      <c r="A8" s="13" t="s">
        <v>68</v>
      </c>
      <c r="B8" s="2"/>
      <c r="C8" s="2"/>
      <c r="D8" s="2"/>
      <c r="E8" s="2">
        <v>0</v>
      </c>
      <c r="F8" s="2">
        <v>0</v>
      </c>
      <c r="H8" s="14"/>
      <c r="I8" s="14"/>
      <c r="J8" s="14"/>
      <c r="K8" s="14"/>
      <c r="L8" s="14"/>
      <c r="M8" s="14"/>
      <c r="N8" s="14"/>
      <c r="O8" s="14"/>
      <c r="P8" s="14"/>
      <c r="Q8" s="14"/>
      <c r="R8" s="14"/>
      <c r="S8" s="14"/>
      <c r="T8" s="14"/>
      <c r="U8" s="14"/>
    </row>
    <row r="9" spans="1:21" x14ac:dyDescent="0.35">
      <c r="A9" s="13" t="s">
        <v>73</v>
      </c>
      <c r="B9" s="2"/>
      <c r="C9" s="2"/>
      <c r="D9" s="2"/>
      <c r="E9" s="2">
        <v>0</v>
      </c>
      <c r="F9" s="2">
        <v>0</v>
      </c>
      <c r="H9" s="14"/>
      <c r="I9" s="14"/>
      <c r="J9" s="14"/>
      <c r="K9" s="14"/>
      <c r="L9" s="14"/>
      <c r="M9" s="14"/>
      <c r="N9" s="14"/>
      <c r="O9" s="14"/>
      <c r="P9" s="14"/>
      <c r="Q9" s="14"/>
      <c r="R9" s="14"/>
      <c r="S9" s="14"/>
      <c r="T9" s="14"/>
      <c r="U9" s="14"/>
    </row>
    <row r="10" spans="1:21" x14ac:dyDescent="0.35">
      <c r="A10" s="13" t="s">
        <v>51</v>
      </c>
      <c r="B10" s="2"/>
      <c r="C10" s="2"/>
      <c r="D10" s="2">
        <v>2</v>
      </c>
      <c r="E10" s="2">
        <v>2</v>
      </c>
      <c r="F10" s="2">
        <v>4</v>
      </c>
      <c r="H10" s="14"/>
      <c r="I10" s="14"/>
      <c r="J10" s="14"/>
      <c r="K10" s="14"/>
      <c r="L10" s="14"/>
      <c r="M10" s="14"/>
      <c r="N10" s="14"/>
      <c r="O10" s="14"/>
      <c r="P10" s="14"/>
      <c r="Q10" s="14"/>
      <c r="R10" s="14"/>
      <c r="S10" s="14"/>
      <c r="T10" s="14"/>
      <c r="U10" s="14"/>
    </row>
    <row r="11" spans="1:21" x14ac:dyDescent="0.35">
      <c r="A11" s="13" t="s">
        <v>72</v>
      </c>
      <c r="B11" s="2"/>
      <c r="C11" s="2"/>
      <c r="D11" s="2">
        <v>0</v>
      </c>
      <c r="E11" s="2"/>
      <c r="F11" s="2">
        <v>0</v>
      </c>
      <c r="H11" s="14"/>
      <c r="I11" s="14"/>
      <c r="J11" s="14"/>
      <c r="K11" s="14"/>
      <c r="L11" s="14"/>
      <c r="M11" s="14"/>
      <c r="N11" s="14"/>
      <c r="O11" s="14"/>
      <c r="P11" s="14"/>
      <c r="Q11" s="14"/>
      <c r="R11" s="14"/>
      <c r="S11" s="14"/>
      <c r="T11" s="14"/>
      <c r="U11" s="14"/>
    </row>
    <row r="12" spans="1:21" x14ac:dyDescent="0.35">
      <c r="A12" s="13" t="s">
        <v>55</v>
      </c>
      <c r="B12" s="2">
        <v>15</v>
      </c>
      <c r="C12" s="2"/>
      <c r="D12" s="2"/>
      <c r="E12" s="2">
        <v>1</v>
      </c>
      <c r="F12" s="2">
        <v>16</v>
      </c>
      <c r="H12" s="14"/>
      <c r="I12" s="14"/>
      <c r="J12" s="14"/>
      <c r="K12" s="14"/>
      <c r="L12" s="14"/>
      <c r="M12" s="14"/>
      <c r="N12" s="14"/>
      <c r="O12" s="14"/>
      <c r="P12" s="14"/>
      <c r="Q12" s="14"/>
      <c r="R12" s="14"/>
      <c r="S12" s="14"/>
      <c r="T12" s="14"/>
      <c r="U12" s="14"/>
    </row>
    <row r="13" spans="1:21" x14ac:dyDescent="0.35">
      <c r="A13" s="13" t="s">
        <v>52</v>
      </c>
      <c r="B13" s="2"/>
      <c r="C13" s="2">
        <v>5</v>
      </c>
      <c r="D13" s="2"/>
      <c r="E13" s="2"/>
      <c r="F13" s="2">
        <v>5</v>
      </c>
      <c r="H13" s="14"/>
      <c r="I13" s="14"/>
      <c r="J13" s="14"/>
      <c r="K13" s="14"/>
      <c r="L13" s="14"/>
      <c r="M13" s="14"/>
      <c r="N13" s="14"/>
      <c r="O13" s="14"/>
      <c r="P13" s="14"/>
      <c r="Q13" s="14"/>
      <c r="R13" s="14"/>
      <c r="S13" s="14"/>
      <c r="T13" s="14"/>
      <c r="U13" s="14"/>
    </row>
    <row r="14" spans="1:21" x14ac:dyDescent="0.35">
      <c r="A14" s="13" t="s">
        <v>57</v>
      </c>
      <c r="B14" s="2"/>
      <c r="C14" s="2"/>
      <c r="D14" s="2"/>
      <c r="E14" s="2">
        <v>1</v>
      </c>
      <c r="F14" s="2">
        <v>1</v>
      </c>
      <c r="H14" s="14"/>
      <c r="I14" s="14"/>
      <c r="J14" s="14"/>
      <c r="K14" s="14"/>
      <c r="L14" s="14"/>
      <c r="M14" s="14"/>
      <c r="N14" s="14"/>
      <c r="O14" s="14"/>
      <c r="P14" s="14"/>
      <c r="Q14" s="14"/>
      <c r="R14" s="14"/>
      <c r="S14" s="14"/>
      <c r="T14" s="14"/>
      <c r="U14" s="14"/>
    </row>
    <row r="15" spans="1:21" x14ac:dyDescent="0.35">
      <c r="A15" s="13" t="s">
        <v>71</v>
      </c>
      <c r="B15" s="2"/>
      <c r="C15" s="2"/>
      <c r="D15" s="2"/>
      <c r="E15" s="2">
        <v>3</v>
      </c>
      <c r="F15" s="2">
        <v>3</v>
      </c>
      <c r="H15" s="14"/>
      <c r="I15" s="14"/>
      <c r="J15" s="14"/>
      <c r="K15" s="14"/>
      <c r="L15" s="14"/>
      <c r="M15" s="14"/>
      <c r="N15" s="14"/>
      <c r="O15" s="14"/>
      <c r="P15" s="14"/>
      <c r="Q15" s="14"/>
      <c r="R15" s="14"/>
      <c r="S15" s="14"/>
      <c r="T15" s="14"/>
      <c r="U15" s="14"/>
    </row>
    <row r="16" spans="1:21" x14ac:dyDescent="0.35">
      <c r="A16" s="13" t="s">
        <v>54</v>
      </c>
      <c r="B16" s="2"/>
      <c r="C16" s="2"/>
      <c r="D16" s="2"/>
      <c r="E16" s="2">
        <v>0</v>
      </c>
      <c r="F16" s="2">
        <v>0</v>
      </c>
      <c r="H16" s="14"/>
      <c r="I16" s="14"/>
      <c r="J16" s="14"/>
      <c r="K16" s="14"/>
      <c r="L16" s="14"/>
      <c r="M16" s="14"/>
      <c r="N16" s="14"/>
      <c r="O16" s="14"/>
      <c r="P16" s="14"/>
      <c r="Q16" s="14"/>
      <c r="R16" s="14"/>
      <c r="S16" s="14"/>
      <c r="T16" s="14"/>
      <c r="U16" s="14"/>
    </row>
    <row r="17" spans="1:21" x14ac:dyDescent="0.35">
      <c r="A17" s="13" t="s">
        <v>69</v>
      </c>
      <c r="B17" s="2">
        <v>0</v>
      </c>
      <c r="C17" s="2"/>
      <c r="D17" s="2"/>
      <c r="E17" s="2"/>
      <c r="F17" s="2">
        <v>0</v>
      </c>
      <c r="H17" s="14"/>
      <c r="I17" s="14"/>
      <c r="J17" s="14"/>
      <c r="K17" s="14"/>
      <c r="L17" s="14"/>
      <c r="M17" s="14"/>
      <c r="N17" s="14"/>
      <c r="O17" s="14"/>
      <c r="P17" s="14"/>
      <c r="Q17" s="14"/>
      <c r="R17" s="14"/>
      <c r="S17" s="14"/>
      <c r="T17" s="14"/>
      <c r="U17" s="14"/>
    </row>
    <row r="18" spans="1:21" x14ac:dyDescent="0.35">
      <c r="A18" s="13" t="s">
        <v>75</v>
      </c>
      <c r="B18" s="2">
        <v>27</v>
      </c>
      <c r="C18" s="2">
        <v>6</v>
      </c>
      <c r="D18" s="2">
        <v>7</v>
      </c>
      <c r="E18" s="2">
        <v>7</v>
      </c>
      <c r="F18" s="2">
        <v>47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8EDB9-BD10-4258-96F4-FF63210360B8}">
  <dimension ref="A1:B14"/>
  <sheetViews>
    <sheetView workbookViewId="0">
      <selection activeCell="A5" sqref="A5"/>
    </sheetView>
  </sheetViews>
  <sheetFormatPr defaultRowHeight="14.5" x14ac:dyDescent="0.35"/>
  <cols>
    <col min="1" max="1" width="12.08984375" bestFit="1" customWidth="1"/>
    <col min="2" max="2" width="17.6328125" bestFit="1" customWidth="1"/>
  </cols>
  <sheetData>
    <row r="1" spans="1:2" x14ac:dyDescent="0.35">
      <c r="A1" t="s">
        <v>60</v>
      </c>
      <c r="B1" t="s">
        <v>61</v>
      </c>
    </row>
    <row r="2" spans="1:2" x14ac:dyDescent="0.35">
      <c r="A2" t="s">
        <v>62</v>
      </c>
      <c r="B2" t="s">
        <v>63</v>
      </c>
    </row>
    <row r="3" spans="1:2" x14ac:dyDescent="0.35">
      <c r="A3" t="s">
        <v>50</v>
      </c>
      <c r="B3" t="s">
        <v>51</v>
      </c>
    </row>
    <row r="4" spans="1:2" x14ac:dyDescent="0.35">
      <c r="A4" t="s">
        <v>77</v>
      </c>
      <c r="B4" t="s">
        <v>52</v>
      </c>
    </row>
    <row r="5" spans="1:2" x14ac:dyDescent="0.35">
      <c r="A5" t="s">
        <v>55</v>
      </c>
      <c r="B5" t="s">
        <v>55</v>
      </c>
    </row>
    <row r="6" spans="1:2" x14ac:dyDescent="0.35">
      <c r="A6" t="s">
        <v>53</v>
      </c>
      <c r="B6" t="s">
        <v>54</v>
      </c>
    </row>
    <row r="7" spans="1:2" x14ac:dyDescent="0.35">
      <c r="A7" t="s">
        <v>64</v>
      </c>
      <c r="B7" t="s">
        <v>64</v>
      </c>
    </row>
    <row r="8" spans="1:2" x14ac:dyDescent="0.35">
      <c r="A8" t="s">
        <v>66</v>
      </c>
      <c r="B8" t="s">
        <v>65</v>
      </c>
    </row>
    <row r="9" spans="1:2" x14ac:dyDescent="0.35">
      <c r="A9" t="s">
        <v>67</v>
      </c>
      <c r="B9" t="s">
        <v>68</v>
      </c>
    </row>
    <row r="10" spans="1:2" x14ac:dyDescent="0.35">
      <c r="A10" t="s">
        <v>69</v>
      </c>
      <c r="B10" t="s">
        <v>69</v>
      </c>
    </row>
    <row r="11" spans="1:2" x14ac:dyDescent="0.35">
      <c r="A11" t="s">
        <v>70</v>
      </c>
      <c r="B11" t="s">
        <v>71</v>
      </c>
    </row>
    <row r="12" spans="1:2" x14ac:dyDescent="0.35">
      <c r="A12" t="s">
        <v>56</v>
      </c>
      <c r="B12" t="s">
        <v>57</v>
      </c>
    </row>
    <row r="13" spans="1:2" x14ac:dyDescent="0.35">
      <c r="A13" t="s">
        <v>72</v>
      </c>
      <c r="B13" t="s">
        <v>72</v>
      </c>
    </row>
    <row r="14" spans="1:2" x14ac:dyDescent="0.35">
      <c r="A14" t="s">
        <v>73</v>
      </c>
      <c r="B14" t="s">
        <v>73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Raw Datasets</vt:lpstr>
      <vt:lpstr>Cleaned Datasets</vt:lpstr>
      <vt:lpstr>Fatalities by States</vt:lpstr>
      <vt:lpstr>Fatalities by Type of Incidents</vt:lpstr>
      <vt:lpstr>Incident type v Ftlty v State</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Ridwan Odewole</dc:creator>
  <cp:lastModifiedBy>Ridwan Odewole</cp:lastModifiedBy>
  <dcterms:created xsi:type="dcterms:W3CDTF">2026-04-03T06:03:52Z</dcterms:created>
  <dcterms:modified xsi:type="dcterms:W3CDTF">2026-04-09T15:52:55Z</dcterms:modified>
</cp:coreProperties>
</file>